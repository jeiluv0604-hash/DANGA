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9c70068fb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d1bb680d293d4e5a"/>
    <x:sheet xmlns:r="http://schemas.openxmlformats.org/officeDocument/2006/relationships" name="Daily_Operations" sheetId="2" r:id="Rf540f82e131143a9"/>
    <x:sheet xmlns:r="http://schemas.openxmlformats.org/officeDocument/2006/relationships" name="Golden_Anomalies" sheetId="3" r:id="Re25c4b7580434eec"/>
    <x:sheet xmlns:r="http://schemas.openxmlformats.org/officeDocument/2006/relationships" name="Harness_Tests" sheetId="4" r:id="R0589fd2a837f4c71"/>
    <x:sheet xmlns:r="http://schemas.openxmlformats.org/officeDocument/2006/relationships" name="Rule_Engine_Output" sheetId="5" r:id="R68ffba31766b4dd5"/>
    <x:sheet xmlns:r="http://schemas.openxmlformats.org/officeDocument/2006/relationships" name="Dashboard" sheetId="6" r:id="R79fcf7686bc54d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&quot;원&quot;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ECACA"/>
        </x:patternFill>
      </x:fill>
    </x:dxf>
    <x:dxf>
      <x:font>
        <x:b/>
      </x:font>
      <x:fill>
        <x:patternFill patternType="solid">
          <x:bgColor rgb="FFFED7AA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b6dd49d55e465a" /><Relationship Type="http://schemas.openxmlformats.org/officeDocument/2006/relationships/theme" Target="/xl/theme/theme1.xml" Id="R36e2bf4243b342c1" /><Relationship Type="http://schemas.openxmlformats.org/officeDocument/2006/relationships/sharedStrings" Target="/xl/sharedStrings.xml" Id="R5fbdaa454e354f6e" /><Relationship Type="http://schemas.openxmlformats.org/officeDocument/2006/relationships/worksheet" Target="/xl/worksheets/sheet1.xml" Id="Rd1bb680d293d4e5a" /><Relationship Type="http://schemas.openxmlformats.org/officeDocument/2006/relationships/worksheet" Target="/xl/worksheets/sheet2.xml" Id="Rf540f82e131143a9" /><Relationship Type="http://schemas.openxmlformats.org/officeDocument/2006/relationships/worksheet" Target="/xl/worksheets/sheet3.xml" Id="Re25c4b7580434eec" /><Relationship Type="http://schemas.openxmlformats.org/officeDocument/2006/relationships/worksheet" Target="/xl/worksheets/sheet4.xml" Id="R0589fd2a837f4c71" /><Relationship Type="http://schemas.openxmlformats.org/officeDocument/2006/relationships/worksheet" Target="/xl/worksheets/sheet5.xml" Id="R68ffba31766b4dd5" /><Relationship Type="http://schemas.openxmlformats.org/officeDocument/2006/relationships/worksheet" Target="/xl/worksheets/sheet6.xml" Id="R79fcf7686bc54d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1ebcdbf5a44c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일별 매출 추이</a:t>
            </a:r>
          </a:p>
        </c:rich>
      </c:tx>
    </c:title>
    <c:plotArea>
      <c:lineChart>
        <c:grouping val="standard"/>
        <c:ser>
          <c:idx val="0"/>
          <c:order val="0"/>
          <c:tx>
            <c:v>Weekday</c:v>
          </c:tx>
          <c:marker>
            <c:symbol val="none"/>
          </c:marker>
          <c:cat>
            <c:strRef>
              <c:f>'Daily_Operations'!$A$2:$A$93</c:f>
              <c:strCache>
                <c:ptCount val="0"/>
              </c:strCache>
            </c:strRef>
          </c:cat>
          <c:val>
            <c:numRef>
              <c:f>'Daily_Operations'!$B$2:$B$93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Sales</c:v>
          </c:tx>
          <c:marker>
            <c:symbol val="none"/>
          </c:marker>
          <c:cat>
            <c:strRef>
              <c:f>'Daily_Operations'!$A$2:$A$93</c:f>
              <c:strCache>
                <c:ptCount val="0"/>
              </c:strCache>
            </c:strRef>
          </c:cat>
          <c:val>
            <c:numRef>
              <c:f>'Daily_Operations'!$C$2:$C$93</c:f>
              <c:numCache>
                <c:formatCode>#,##0"원"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1ebcdbf5a44ce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c048b6d29d042e5" /></Relationships>
</file>

<file path=xl/worksheets/sheet1.xml><?xml version="1.0" encoding="utf-8"?>
<x:worksheet xmlns:x="http://schemas.openxmlformats.org/spreadsheetml/2006/main">
  <x:sheetFormatPr defaultRowHeight="15"/>
  <x:cols>
    <x:col min="1" max="1" width="20.1299991607666" hidden="0" customWidth="1"/>
    <x:col min="2" max="2" width="25" hidden="0" customWidth="1"/>
    <x:col min="3" max="3" width="27.5" hidden="0" customWidth="1"/>
  </x:cols>
  <x:sheetData>
    <x:row r="1">
      <x:c r="A1" s="10" t="str">
        <x:v>항목</x:v>
      </x:c>
      <x:c r="B1" s="10" t="str">
        <x:v>값</x:v>
      </x:c>
      <x:c r="C1" s="10" t="str">
        <x:v>설명</x:v>
      </x:c>
    </x:row>
    <x:row r="2">
      <x:c r="A2" s="11" t="str">
        <x:v>데이터 성격</x:v>
      </x:c>
      <x:c r="B2" s="11" t="str">
        <x:v>100% Synthetic / Golden Dataset</x:v>
      </x:c>
      <x:c r="C2" s="11" t="str">
        <x:v>실제 담가화로구이 경영실적 아님</x:v>
      </x:c>
    </x:row>
    <x:row r="3">
      <x:c r="A3" s="11" t="str">
        <x:v>기간</x:v>
      </x:c>
      <x:c r="B3" s="11" t="str">
        <x:v>2026-06-01 ~ 2026-08-31</x:v>
      </x:c>
      <x:c r="C3" s="11" t="str">
        <x:v>92일</x:v>
      </x:c>
    </x:row>
    <x:row r="4">
      <x:c r="A4" s="11" t="str">
        <x:v>연매출 기준</x:v>
      </x:c>
      <x:c r="B4" s="11" t="n">
        <x:v>4200000000</x:v>
      </x:c>
      <x:c r="C4" s="11" t="str">
        <x:v>사용자 제공 조건</x:v>
      </x:c>
    </x:row>
    <x:row r="5">
      <x:c r="A5" s="11" t="str">
        <x:v>직원 재직 Pool</x:v>
      </x:c>
      <x:c r="B5" s="11" t="n">
        <x:v>65</x:v>
      </x:c>
      <x:c r="C5" s="11" t="str">
        <x:v>매일 65명 근무한다는 뜻이 아님</x:v>
      </x:c>
    </x:row>
    <x:row r="6">
      <x:c r="A6" s="11" t="str">
        <x:v>월평균 매출 기준</x:v>
      </x:c>
      <x:c r="B6" s="11" t="n">
        <x:v>350000000</x:v>
      </x:c>
      <x:c r="C6" s="11" t="str">
        <x:v>연매출/12</x:v>
      </x:c>
    </x:row>
    <x:row r="7">
      <x:c r="A7" s="11" t="str">
        <x:v>정상 인건비율 기준</x:v>
      </x:c>
      <x:c r="B7" s="22" t="n">
        <x:v>0.27</x:v>
      </x:c>
      <x:c r="C7" s="11" t="str">
        <x:v>가상 관리기준</x:v>
      </x:c>
    </x:row>
    <x:row r="8">
      <x:c r="A8" s="11" t="str">
        <x:v>정상 식재료 원가율 기준</x:v>
      </x:c>
      <x:c r="B8" s="22" t="n">
        <x:v>0.325</x:v>
      </x:c>
      <x:c r="C8" s="11" t="str">
        <x:v>가상 관리기준</x:v>
      </x:c>
    </x:row>
    <x:row r="9">
      <x:c r="A9" t="str">
        <x:v>재고 허용오차 kg</x:v>
      </x:c>
      <x:c r="B9" t="n">
        <x:v>1.5</x:v>
      </x:c>
      <x:c r="C9" t="str">
        <x:v>절대값 기준</x:v>
      </x:c>
    </x:row>
    <x:row r="10">
      <x:c r="A10" t="str">
        <x:v>고객 평점 하한</x:v>
      </x:c>
      <x:c r="B10" t="n">
        <x:v>4.4</x:v>
      </x:c>
      <x:c r="C10" t="str">
        <x:v>가상 관리기준</x:v>
      </x:c>
    </x:row>
    <x:row r="11">
      <x:c r="A11" t="str">
        <x:v>클레임 경보 건수</x:v>
      </x:c>
      <x:c r="B11" t="n">
        <x:v>5</x:v>
      </x:c>
      <x:c r="C11" t="str">
        <x:v>일 기준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8" hidden="0" customWidth="1"/>
    <x:col min="22" max="22" width="18" hidden="0" customWidth="1"/>
  </x:cols>
  <x:sheetData>
    <x:row r="1">
      <x:c r="A1" s="10" t="str">
        <x:v>Date</x:v>
      </x:c>
      <x:c r="B1" s="10" t="str">
        <x:v>Weekday</x:v>
      </x:c>
      <x:c r="C1" s="10" t="str">
        <x:v>Sales</x:v>
      </x:c>
      <x:c r="D1" s="10" t="str">
        <x:v>Guests</x:v>
      </x:c>
      <x:c r="E1" s="10" t="str">
        <x:v>Avg_Check</x:v>
      </x:c>
      <x:c r="F1" s="10" t="str">
        <x:v>Labor_Cost</x:v>
      </x:c>
      <x:c r="G1" s="10" t="str">
        <x:v>Labor_Ratio</x:v>
      </x:c>
      <x:c r="H1" s="10" t="str">
        <x:v>Food_Cost</x:v>
      </x:c>
      <x:c r="I1" s="10" t="str">
        <x:v>Food_Cost_Ratio</x:v>
      </x:c>
      <x:c r="J1" s="10" t="str">
        <x:v>Incoming_kg</x:v>
      </x:c>
      <x:c r="K1" s="10" t="str">
        <x:v>Sold_kg</x:v>
      </x:c>
      <x:c r="L1" s="10" t="str">
        <x:v>Service_kg</x:v>
      </x:c>
      <x:c r="M1" s="10" t="str">
        <x:v>Waste_kg</x:v>
      </x:c>
      <x:c r="N1" s="10" t="str">
        <x:v>Theory_End_kg</x:v>
      </x:c>
      <x:c r="O1" s="10" t="str">
        <x:v>Actual_End_kg</x:v>
      </x:c>
      <x:c r="P1" s="10" t="str">
        <x:v>Variance_kg</x:v>
      </x:c>
      <x:c r="Q1" s="10" t="str">
        <x:v>Review_Count</x:v>
      </x:c>
      <x:c r="R1" s="10" t="str">
        <x:v>Rating</x:v>
      </x:c>
      <x:c r="S1" s="10" t="str">
        <x:v>Complaints</x:v>
      </x:c>
      <x:c r="T1" s="10" t="str">
        <x:v>Contribution</x:v>
      </x:c>
      <x:c r="U1" s="10" t="str">
        <x:v>Data_Status</x:v>
      </x:c>
      <x:c r="V1" s="10" t="str">
        <x:v>Expected_Anomaly_ID</x:v>
      </x:c>
    </x:row>
    <x:row r="2">
      <x:c r="A2" s="14" t="n">
        <x:v>46174</x:v>
      </x:c>
      <x:c r="B2" s="11" t="str">
        <x:v>월</x:v>
      </x:c>
      <x:c r="C2" s="18" t="n">
        <x:v>9202000</x:v>
      </x:c>
      <x:c r="D2" s="11" t="n">
        <x:v>276</x:v>
      </x:c>
      <x:c r="E2" s="18" t="n">
        <x:v>33341</x:v>
      </x:c>
      <x:c r="F2" s="18" t="n">
        <x:v>2335000</x:v>
      </x:c>
      <x:c r="G2" s="22" t="n">
        <x:v>0.2537491849597914</x:v>
      </x:c>
      <x:c r="H2" s="18" t="n">
        <x:v>2885000</x:v>
      </x:c>
      <x:c r="I2" s="22" t="n">
        <x:v>0.31351880026081286</x:v>
      </x:c>
      <x:c r="J2" s="11" t="n">
        <x:v>149.5</x:v>
      </x:c>
      <x:c r="K2" s="11" t="n">
        <x:v>139.3</x:v>
      </x:c>
      <x:c r="L2" s="11" t="n">
        <x:v>2.5</x:v>
      </x:c>
      <x:c r="M2" s="11" t="n">
        <x:v>1.1</x:v>
      </x:c>
      <x:c r="N2" s="11" t="n">
        <x:v>6.6</x:v>
      </x:c>
      <x:c r="O2" s="11" t="n">
        <x:v>6.6</x:v>
      </x:c>
      <x:c r="P2" s="11" t="n">
        <x:v>0</x:v>
      </x:c>
      <x:c r="Q2" s="11" t="n">
        <x:v>9</x:v>
      </x:c>
      <x:c r="R2" s="11" t="n">
        <x:v>4.55</x:v>
      </x:c>
      <x:c r="S2" s="11" t="n">
        <x:v>0</x:v>
      </x:c>
      <x:c r="T2" s="18" t="n">
        <x:v>3982000</x:v>
      </x:c>
      <x:c r="U2" s="11" t="str">
        <x:v>OK</x:v>
      </x:c>
      <x:c r="V2" s="11" t="str"/>
    </x:row>
    <x:row r="3">
      <x:c r="A3" s="14" t="n">
        <x:v>46175</x:v>
      </x:c>
      <x:c r="B3" s="11" t="str">
        <x:v>화</x:v>
      </x:c>
      <x:c r="C3" s="18" t="n">
        <x:v>8986000</x:v>
      </x:c>
      <x:c r="D3" s="11" t="n">
        <x:v>273</x:v>
      </x:c>
      <x:c r="E3" s="18" t="n">
        <x:v>32916</x:v>
      </x:c>
      <x:c r="F3" s="18" t="n">
        <x:v>2299000</x:v>
      </x:c>
      <x:c r="G3" s="22" t="n">
        <x:v>0.255842421544625</x:v>
      </x:c>
      <x:c r="H3" s="18" t="n">
        <x:v>2952000</x:v>
      </x:c>
      <x:c r="I3" s="22" t="n">
        <x:v>0.32851101713776987</x:v>
      </x:c>
      <x:c r="J3" s="11" t="n">
        <x:v>134.8</x:v>
      </x:c>
      <x:c r="K3" s="11" t="n">
        <x:v>126.5</x:v>
      </x:c>
      <x:c r="L3" s="11" t="n">
        <x:v>2.7</x:v>
      </x:c>
      <x:c r="M3" s="11" t="n">
        <x:v>0.7</x:v>
      </x:c>
      <x:c r="N3" s="11" t="n">
        <x:v>4.9</x:v>
      </x:c>
      <x:c r="O3" s="11" t="n">
        <x:v>5.6</x:v>
      </x:c>
      <x:c r="P3" s="11" t="n">
        <x:v>0.7</x:v>
      </x:c>
      <x:c r="Q3" s="11" t="n">
        <x:v>10</x:v>
      </x:c>
      <x:c r="R3" s="11" t="n">
        <x:v>4.66</x:v>
      </x:c>
      <x:c r="S3" s="11" t="n">
        <x:v>1</x:v>
      </x:c>
      <x:c r="T3" s="18" t="n">
        <x:v>3735000</x:v>
      </x:c>
      <x:c r="U3" s="11" t="str">
        <x:v>OK</x:v>
      </x:c>
      <x:c r="V3" s="11" t="str"/>
    </x:row>
    <x:row r="4">
      <x:c r="A4" s="14" t="n">
        <x:v>46176</x:v>
      </x:c>
      <x:c r="B4" s="11" t="str">
        <x:v>수</x:v>
      </x:c>
      <x:c r="C4" s="18" t="n">
        <x:v>10506000</x:v>
      </x:c>
      <x:c r="D4" s="11" t="n">
        <x:v>321</x:v>
      </x:c>
      <x:c r="E4" s="18" t="n">
        <x:v>32729</x:v>
      </x:c>
      <x:c r="F4" s="18" t="n">
        <x:v>2823000</x:v>
      </x:c>
      <x:c r="G4" s="22" t="n">
        <x:v>0.268703597944032</x:v>
      </x:c>
      <x:c r="H4" s="18" t="n">
        <x:v>3511000</x:v>
      </x:c>
      <x:c r="I4" s="22" t="n">
        <x:v>0.33418998667428135</x:v>
      </x:c>
      <x:c r="J4" s="11" t="n">
        <x:v>171.1</x:v>
      </x:c>
      <x:c r="K4" s="11" t="n">
        <x:v>156.4</x:v>
      </x:c>
      <x:c r="L4" s="11" t="n">
        <x:v>2.2</x:v>
      </x:c>
      <x:c r="M4" s="11" t="n">
        <x:v>1.2</x:v>
      </x:c>
      <x:c r="N4" s="11" t="n">
        <x:v>11.2</x:v>
      </x:c>
      <x:c r="O4" s="11" t="n">
        <x:v>10.1</x:v>
      </x:c>
      <x:c r="P4" s="11" t="n">
        <x:v>-1.2</x:v>
      </x:c>
      <x:c r="Q4" s="11" t="n">
        <x:v>10</x:v>
      </x:c>
      <x:c r="R4" s="11" t="n">
        <x:v>4.58</x:v>
      </x:c>
      <x:c r="S4" s="11" t="n">
        <x:v>0</x:v>
      </x:c>
      <x:c r="T4" s="18" t="n">
        <x:v>4172000</x:v>
      </x:c>
      <x:c r="U4" s="11" t="str">
        <x:v>OK</x:v>
      </x:c>
      <x:c r="V4" s="11" t="str"/>
    </x:row>
    <x:row r="5">
      <x:c r="A5" s="14" t="n">
        <x:v>46177</x:v>
      </x:c>
      <x:c r="B5" s="11" t="str">
        <x:v>목</x:v>
      </x:c>
      <x:c r="C5" s="18" t="n">
        <x:v>11013000</x:v>
      </x:c>
      <x:c r="D5" s="11" t="n">
        <x:v>354</x:v>
      </x:c>
      <x:c r="E5" s="18" t="n">
        <x:v>31110</x:v>
      </x:c>
      <x:c r="F5" s="18" t="n">
        <x:v>2879000</x:v>
      </x:c>
      <x:c r="G5" s="22" t="n">
        <x:v>0.2614183237991465</x:v>
      </x:c>
      <x:c r="H5" s="18" t="n">
        <x:v>3618000</x:v>
      </x:c>
      <x:c r="I5" s="22" t="n">
        <x:v>0.3285208390084446</x:v>
      </x:c>
      <x:c r="J5" s="11" t="n">
        <x:v>172.7</x:v>
      </x:c>
      <x:c r="K5" s="11" t="n">
        <x:v>167.7</x:v>
      </x:c>
      <x:c r="L5" s="11" t="n">
        <x:v>2.5</x:v>
      </x:c>
      <x:c r="M5" s="11" t="n">
        <x:v>1.5</x:v>
      </x:c>
      <x:c r="N5" s="11" t="n">
        <x:v>1.1</x:v>
      </x:c>
      <x:c r="O5" s="11" t="n">
        <x:v>0.7</x:v>
      </x:c>
      <x:c r="P5" s="11" t="n">
        <x:v>-0.4</x:v>
      </x:c>
      <x:c r="Q5" s="11" t="n">
        <x:v>11</x:v>
      </x:c>
      <x:c r="R5" s="11" t="n">
        <x:v>4.36</x:v>
      </x:c>
      <x:c r="S5" s="11" t="n">
        <x:v>0</x:v>
      </x:c>
      <x:c r="T5" s="18" t="n">
        <x:v>4516000</x:v>
      </x:c>
      <x:c r="U5" s="11" t="str">
        <x:v>OK</x:v>
      </x:c>
      <x:c r="V5" s="11" t="str"/>
    </x:row>
    <x:row r="6">
      <x:c r="A6" s="14" t="n">
        <x:v>46178</x:v>
      </x:c>
      <x:c r="B6" s="11" t="str">
        <x:v>금</x:v>
      </x:c>
      <x:c r="C6" s="18" t="n">
        <x:v>12277000</x:v>
      </x:c>
      <x:c r="D6" s="11" t="n">
        <x:v>375</x:v>
      </x:c>
      <x:c r="E6" s="18" t="n">
        <x:v>32739</x:v>
      </x:c>
      <x:c r="F6" s="18" t="n">
        <x:v>3240000</x:v>
      </x:c>
      <x:c r="G6" s="22" t="n">
        <x:v>0.2639081208764356</x:v>
      </x:c>
      <x:c r="H6" s="18" t="n">
        <x:v>4078000</x:v>
      </x:c>
      <x:c r="I6" s="22" t="n">
        <x:v>0.3321658385599088</x:v>
      </x:c>
      <x:c r="J6" s="11" t="n">
        <x:v>206.2</x:v>
      </x:c>
      <x:c r="K6" s="11" t="n">
        <x:v>189</x:v>
      </x:c>
      <x:c r="L6" s="11" t="n">
        <x:v>3.8</x:v>
      </x:c>
      <x:c r="M6" s="11" t="n">
        <x:v>1.2</x:v>
      </x:c>
      <x:c r="N6" s="11" t="n">
        <x:v>12.3</x:v>
      </x:c>
      <x:c r="O6" s="11" t="n">
        <x:v>12.4</x:v>
      </x:c>
      <x:c r="P6" s="11" t="n">
        <x:v>0.1</x:v>
      </x:c>
      <x:c r="Q6" s="11" t="n">
        <x:v>12</x:v>
      </x:c>
      <x:c r="R6" s="11" t="n">
        <x:v>4.64</x:v>
      </x:c>
      <x:c r="S6" s="11" t="n">
        <x:v>0</x:v>
      </x:c>
      <x:c r="T6" s="18" t="n">
        <x:v>4959000</x:v>
      </x:c>
      <x:c r="U6" s="11" t="str">
        <x:v>OK</x:v>
      </x:c>
      <x:c r="V6" s="11" t="str"/>
    </x:row>
    <x:row r="7">
      <x:c r="A7" s="14" t="n">
        <x:v>46179</x:v>
      </x:c>
      <x:c r="B7" s="11" t="str">
        <x:v>토</x:v>
      </x:c>
      <x:c r="C7" s="18" t="n">
        <x:v>13743000</x:v>
      </x:c>
      <x:c r="D7" s="11" t="n">
        <x:v>412</x:v>
      </x:c>
      <x:c r="E7" s="18" t="n">
        <x:v>33357</x:v>
      </x:c>
      <x:c r="F7" s="18" t="n">
        <x:v>3400000</x:v>
      </x:c>
      <x:c r="G7" s="22" t="n">
        <x:v>0.2473986756894419</x:v>
      </x:c>
      <x:c r="H7" s="18" t="n">
        <x:v>4370000</x:v>
      </x:c>
      <x:c r="I7" s="22" t="n">
        <x:v>0.3179800625773121</x:v>
      </x:c>
      <x:c r="J7" s="11" t="n">
        <x:v>214.4</x:v>
      </x:c>
      <x:c r="K7" s="11" t="n">
        <x:v>198.8</x:v>
      </x:c>
      <x:c r="L7" s="11" t="n">
        <x:v>3.8</x:v>
      </x:c>
      <x:c r="M7" s="11" t="n">
        <x:v>1.7</x:v>
      </x:c>
      <x:c r="N7" s="11" t="n">
        <x:v>10.1</x:v>
      </x:c>
      <x:c r="O7" s="11" t="n">
        <x:v>9.5</x:v>
      </x:c>
      <x:c r="P7" s="11" t="n">
        <x:v>-0.6</x:v>
      </x:c>
      <x:c r="Q7" s="11" t="n">
        <x:v>16</x:v>
      </x:c>
      <x:c r="R7" s="11" t="n">
        <x:v>4.32</x:v>
      </x:c>
      <x:c r="S7" s="11" t="n">
        <x:v>1</x:v>
      </x:c>
      <x:c r="T7" s="18" t="n">
        <x:v>5973000</x:v>
      </x:c>
      <x:c r="U7" s="11" t="str">
        <x:v>OK</x:v>
      </x:c>
      <x:c r="V7" s="11" t="str"/>
    </x:row>
    <x:row r="8">
      <x:c r="A8" s="14" t="n">
        <x:v>46180</x:v>
      </x:c>
      <x:c r="B8" s="11" t="str">
        <x:v>일</x:v>
      </x:c>
      <x:c r="C8" s="18" t="n">
        <x:v>11388000</x:v>
      </x:c>
      <x:c r="D8" s="11" t="n">
        <x:v>369</x:v>
      </x:c>
      <x:c r="E8" s="18" t="n">
        <x:v>30862</x:v>
      </x:c>
      <x:c r="F8" s="18" t="n">
        <x:v>3199000</x:v>
      </x:c>
      <x:c r="G8" s="22" t="n">
        <x:v>0.28090972953986654</x:v>
      </x:c>
      <x:c r="H8" s="18" t="n">
        <x:v>3697000</x:v>
      </x:c>
      <x:c r="I8" s="22" t="n">
        <x:v>0.32463997190024585</x:v>
      </x:c>
      <x:c r="J8" s="11" t="n">
        <x:v>171.4</x:v>
      </x:c>
      <x:c r="K8" s="11" t="n">
        <x:v>156.9</x:v>
      </x:c>
      <x:c r="L8" s="11" t="n">
        <x:v>3.2</x:v>
      </x:c>
      <x:c r="M8" s="11" t="n">
        <x:v>1.5</x:v>
      </x:c>
      <x:c r="N8" s="11" t="n">
        <x:v>9.8</x:v>
      </x:c>
      <x:c r="O8" s="11" t="n">
        <x:v>9.6</x:v>
      </x:c>
      <x:c r="P8" s="11" t="n">
        <x:v>-0.2</x:v>
      </x:c>
      <x:c r="Q8" s="11" t="n">
        <x:v>10</x:v>
      </x:c>
      <x:c r="R8" s="11" t="n">
        <x:v>4.61</x:v>
      </x:c>
      <x:c r="S8" s="11" t="n">
        <x:v>0</x:v>
      </x:c>
      <x:c r="T8" s="18" t="n">
        <x:v>4492000</x:v>
      </x:c>
      <x:c r="U8" s="11" t="str">
        <x:v>OK</x:v>
      </x:c>
      <x:c r="V8" s="11" t="str"/>
    </x:row>
    <x:row r="9">
      <x:c r="A9" s="15" t="n">
        <x:v>46181</x:v>
      </x:c>
      <x:c r="B9" t="str">
        <x:v>월</x:v>
      </x:c>
      <x:c r="C9" s="19" t="n">
        <x:v>8859000</x:v>
      </x:c>
      <x:c r="D9" t="n">
        <x:v>274</x:v>
      </x:c>
      <x:c r="E9" s="19" t="n">
        <x:v>32332</x:v>
      </x:c>
      <x:c r="F9" s="19" t="n">
        <x:v>2461000</x:v>
      </x:c>
      <x:c r="G9" s="23" t="n">
        <x:v>0.27779659103736315</x:v>
      </x:c>
      <x:c r="H9" s="19" t="n">
        <x:v>2925000</x:v>
      </x:c>
      <x:c r="I9" s="23" t="n">
        <x:v>0.33017270572299356</x:v>
      </x:c>
      <x:c r="J9" t="n">
        <x:v>137.8</x:v>
      </x:c>
      <x:c r="K9" t="n">
        <x:v>131.7</x:v>
      </x:c>
      <x:c r="L9" t="n">
        <x:v>2.6</x:v>
      </x:c>
      <x:c r="M9" t="n">
        <x:v>0.9</x:v>
      </x:c>
      <x:c r="N9" t="n">
        <x:v>2.6</x:v>
      </x:c>
      <x:c r="O9" t="n">
        <x:v>3.2</x:v>
      </x:c>
      <x:c r="P9" t="n">
        <x:v>0.6</x:v>
      </x:c>
      <x:c r="Q9" t="n">
        <x:v>11</x:v>
      </x:c>
      <x:c r="R9" t="n">
        <x:v>4.55</x:v>
      </x:c>
      <x:c r="S9" t="n">
        <x:v>1</x:v>
      </x:c>
      <x:c r="T9" s="19" t="n">
        <x:v>3473000</x:v>
      </x:c>
      <x:c r="U9" t="str">
        <x:v>OK</x:v>
      </x:c>
      <x:c r="V9" t="str"/>
    </x:row>
    <x:row r="10">
      <x:c r="A10" s="15" t="n">
        <x:v>46182</x:v>
      </x:c>
      <x:c r="B10" t="str">
        <x:v>화</x:v>
      </x:c>
      <x:c r="C10" s="19" t="n">
        <x:v>9305000</x:v>
      </x:c>
      <x:c r="D10" t="n">
        <x:v>281</x:v>
      </x:c>
      <x:c r="E10" s="19" t="n">
        <x:v>33114</x:v>
      </x:c>
      <x:c r="F10" s="19" t="n">
        <x:v>2437000</x:v>
      </x:c>
      <x:c r="G10" s="23" t="n">
        <x:v>0.26190220311660395</x:v>
      </x:c>
      <x:c r="H10" s="19" t="n">
        <x:v>3057000</x:v>
      </x:c>
      <x:c r="I10" s="23" t="n">
        <x:v>0.32853304674905964</x:v>
      </x:c>
      <x:c r="J10" t="n">
        <x:v>141.1</x:v>
      </x:c>
      <x:c r="K10" t="n">
        <x:v>135.2</x:v>
      </x:c>
      <x:c r="L10" t="n">
        <x:v>2.8</x:v>
      </x:c>
      <x:c r="M10" t="n">
        <x:v>1.2</x:v>
      </x:c>
      <x:c r="N10" t="n">
        <x:v>2</x:v>
      </x:c>
      <x:c r="O10" t="n">
        <x:v>1.6</x:v>
      </x:c>
      <x:c r="P10" t="n">
        <x:v>-0.4</x:v>
      </x:c>
      <x:c r="Q10" t="n">
        <x:v>10</x:v>
      </x:c>
      <x:c r="R10" t="n">
        <x:v>4.59</x:v>
      </x:c>
      <x:c r="S10" t="n">
        <x:v>2</x:v>
      </x:c>
      <x:c r="T10" s="19" t="n">
        <x:v>3811000</x:v>
      </x:c>
      <x:c r="U10" t="str">
        <x:v>OK</x:v>
      </x:c>
      <x:c r="V10" t="str"/>
    </x:row>
    <x:row r="11">
      <x:c r="A11" s="15" t="n">
        <x:v>46183</x:v>
      </x:c>
      <x:c r="B11" t="str">
        <x:v>수</x:v>
      </x:c>
      <x:c r="C11" s="19" t="n">
        <x:v>9307000</x:v>
      </x:c>
      <x:c r="D11" t="n">
        <x:v>286</x:v>
      </x:c>
      <x:c r="E11" s="19" t="n">
        <x:v>32542</x:v>
      </x:c>
      <x:c r="F11" s="19" t="n">
        <x:v>2623000</x:v>
      </x:c>
      <x:c r="G11" s="23" t="n">
        <x:v>0.28183087998280865</x:v>
      </x:c>
      <x:c r="H11" s="19" t="n">
        <x:v>2907000</x:v>
      </x:c>
      <x:c r="I11" s="23" t="n">
        <x:v>0.31234554636295264</x:v>
      </x:c>
      <x:c r="J11" t="n">
        <x:v>147.3</x:v>
      </x:c>
      <x:c r="K11" t="n">
        <x:v>140.3</x:v>
      </x:c>
      <x:c r="L11" t="n">
        <x:v>2.9</x:v>
      </x:c>
      <x:c r="M11" t="n">
        <x:v>0.8</x:v>
      </x:c>
      <x:c r="N11" t="n">
        <x:v>3.4</x:v>
      </x:c>
      <x:c r="O11" t="n">
        <x:v>3.2</x:v>
      </x:c>
      <x:c r="P11" t="n">
        <x:v>-0.2</x:v>
      </x:c>
      <x:c r="Q11" t="n">
        <x:v>10</x:v>
      </x:c>
      <x:c r="R11" t="n">
        <x:v>4.6</x:v>
      </x:c>
      <x:c r="S11" t="n">
        <x:v>1</x:v>
      </x:c>
      <x:c r="T11" s="19" t="n">
        <x:v>3777000</x:v>
      </x:c>
      <x:c r="U11" t="str">
        <x:v>OK</x:v>
      </x:c>
      <x:c r="V11" t="str"/>
    </x:row>
    <x:row r="12">
      <x:c r="A12" s="15" t="n">
        <x:v>46184</x:v>
      </x:c>
      <x:c r="B12" t="str">
        <x:v>목</x:v>
      </x:c>
      <x:c r="C12" s="19" t="n">
        <x:v>10153000</x:v>
      </x:c>
      <x:c r="D12" t="n">
        <x:v>333</x:v>
      </x:c>
      <x:c r="E12" s="19" t="n">
        <x:v>30489</x:v>
      </x:c>
      <x:c r="F12" s="19" t="n">
        <x:v>2653000</x:v>
      </x:c>
      <x:c r="G12" s="23" t="n">
        <x:v>0.26130207820348667</x:v>
      </x:c>
      <x:c r="H12" s="19" t="n">
        <x:v>3416000</x:v>
      </x:c>
      <x:c r="I12" s="23" t="n">
        <x:v>0.33645228011425193</x:v>
      </x:c>
      <x:c r="J12" t="n">
        <x:v>160.4</x:v>
      </x:c>
      <x:c r="K12" t="n">
        <x:v>146.9</x:v>
      </x:c>
      <x:c r="L12" t="n">
        <x:v>1.8</x:v>
      </x:c>
      <x:c r="M12" t="n">
        <x:v>1.6</x:v>
      </x:c>
      <x:c r="N12" t="n">
        <x:v>10.1</x:v>
      </x:c>
      <x:c r="O12" t="n">
        <x:v>10.2</x:v>
      </x:c>
      <x:c r="P12" t="n">
        <x:v>0.1</x:v>
      </x:c>
      <x:c r="Q12" t="n">
        <x:v>13</x:v>
      </x:c>
      <x:c r="R12" t="n">
        <x:v>4.49</x:v>
      </x:c>
      <x:c r="S12" t="n">
        <x:v>1</x:v>
      </x:c>
      <x:c r="T12" s="19" t="n">
        <x:v>4084000</x:v>
      </x:c>
      <x:c r="U12" t="str">
        <x:v>OK</x:v>
      </x:c>
      <x:c r="V12" t="str"/>
    </x:row>
    <x:row r="13">
      <x:c r="A13" s="15" t="n">
        <x:v>46185</x:v>
      </x:c>
      <x:c r="B13" t="str">
        <x:v>금</x:v>
      </x:c>
      <x:c r="C13" s="19" t="n">
        <x:v>13092000</x:v>
      </x:c>
      <x:c r="D13" t="n">
        <x:v>426</x:v>
      </x:c>
      <x:c r="E13" s="19" t="n">
        <x:v>30732</x:v>
      </x:c>
      <x:c r="F13" s="19" t="n">
        <x:v>4648000</x:v>
      </x:c>
      <x:c r="G13" s="23" t="n">
        <x:v>0.3550259700580507</x:v>
      </x:c>
      <x:c r="H13" s="19" t="n">
        <x:v>4401000</x:v>
      </x:c>
      <x:c r="I13" s="23" t="n">
        <x:v>0.3361594867094409</x:v>
      </x:c>
      <x:c r="J13" t="n">
        <x:v>210.9</x:v>
      </x:c>
      <x:c r="K13" t="n">
        <x:v>203.8</x:v>
      </x:c>
      <x:c r="L13" t="n">
        <x:v>3.2</x:v>
      </x:c>
      <x:c r="M13" t="n">
        <x:v>1.1</x:v>
      </x:c>
      <x:c r="N13" t="n">
        <x:v>2.8</x:v>
      </x:c>
      <x:c r="O13" t="n">
        <x:v>1.9</x:v>
      </x:c>
      <x:c r="P13" t="n">
        <x:v>-0.9</x:v>
      </x:c>
      <x:c r="Q13" t="n">
        <x:v>16</x:v>
      </x:c>
      <x:c r="R13" t="n">
        <x:v>4.41</x:v>
      </x:c>
      <x:c r="S13" t="n">
        <x:v>1</x:v>
      </x:c>
      <x:c r="T13" s="19" t="n">
        <x:v>4043000</x:v>
      </x:c>
      <x:c r="U13" t="str">
        <x:v>OK</x:v>
      </x:c>
      <x:c r="V13" t="str">
        <x:v>GA-001</x:v>
      </x:c>
    </x:row>
    <x:row r="14">
      <x:c r="A14" s="15" t="n">
        <x:v>46186</x:v>
      </x:c>
      <x:c r="B14" t="str">
        <x:v>토</x:v>
      </x:c>
      <x:c r="C14" s="19" t="n">
        <x:v>14580000</x:v>
      </x:c>
      <x:c r="D14" t="n">
        <x:v>452</x:v>
      </x:c>
      <x:c r="E14" s="19" t="n">
        <x:v>32257</x:v>
      </x:c>
      <x:c r="F14" s="19" t="n">
        <x:v>3583000</x:v>
      </x:c>
      <x:c r="G14" s="23" t="n">
        <x:v>0.24574759945130314</x:v>
      </x:c>
      <x:c r="H14" s="19" t="n">
        <x:v>4699000</x:v>
      </x:c>
      <x:c r="I14" s="23" t="n">
        <x:v>0.3222908093278464</x:v>
      </x:c>
      <x:c r="J14" t="n">
        <x:v>244.5</x:v>
      </x:c>
      <x:c r="K14" t="n">
        <x:v>225.1</x:v>
      </x:c>
      <x:c r="L14" t="n">
        <x:v>3.3</x:v>
      </x:c>
      <x:c r="M14" t="n">
        <x:v>2.5</x:v>
      </x:c>
      <x:c r="N14" t="n">
        <x:v>13.6</x:v>
      </x:c>
      <x:c r="O14" t="n">
        <x:v>14.4</x:v>
      </x:c>
      <x:c r="P14" t="n">
        <x:v>0.8</x:v>
      </x:c>
      <x:c r="Q14" t="n">
        <x:v>15</x:v>
      </x:c>
      <x:c r="R14" t="n">
        <x:v>4.58</x:v>
      </x:c>
      <x:c r="S14" t="n">
        <x:v>0</x:v>
      </x:c>
      <x:c r="T14" s="19" t="n">
        <x:v>6298000</x:v>
      </x:c>
      <x:c r="U14" t="str">
        <x:v>OK</x:v>
      </x:c>
      <x:c r="V14" t="str"/>
    </x:row>
    <x:row r="15">
      <x:c r="A15" s="15" t="n">
        <x:v>46187</x:v>
      </x:c>
      <x:c r="B15" t="str">
        <x:v>일</x:v>
      </x:c>
      <x:c r="C15" s="19" t="n">
        <x:v>10874000</x:v>
      </x:c>
      <x:c r="D15" t="n">
        <x:v>324</x:v>
      </x:c>
      <x:c r="E15" s="19" t="n">
        <x:v>33562</x:v>
      </x:c>
      <x:c r="F15" s="19" t="n">
        <x:v>2876000</x:v>
      </x:c>
      <x:c r="G15" s="23" t="n">
        <x:v>0.2644840904910796</x:v>
      </x:c>
      <x:c r="H15" s="19" t="n">
        <x:v>3573000</x:v>
      </x:c>
      <x:c r="I15" s="23" t="n">
        <x:v>0.3285819385690638</x:v>
      </x:c>
      <x:c r="J15" t="n">
        <x:v>177.8</x:v>
      </x:c>
      <x:c r="K15" t="n">
        <x:v>165</x:v>
      </x:c>
      <x:c r="L15" t="n">
        <x:v>3</x:v>
      </x:c>
      <x:c r="M15" t="n">
        <x:v>1.9</x:v>
      </x:c>
      <x:c r="N15" t="n">
        <x:v>8</x:v>
      </x:c>
      <x:c r="O15" t="n">
        <x:v>6.8</x:v>
      </x:c>
      <x:c r="P15" t="n">
        <x:v>-1.2</x:v>
      </x:c>
      <x:c r="Q15" t="n">
        <x:v>13</x:v>
      </x:c>
      <x:c r="R15" t="n">
        <x:v>4.47</x:v>
      </x:c>
      <x:c r="S15" t="n">
        <x:v>1</x:v>
      </x:c>
      <x:c r="T15" s="19" t="n">
        <x:v>4425000</x:v>
      </x:c>
      <x:c r="U15" t="str">
        <x:v>OK</x:v>
      </x:c>
      <x:c r="V15" t="str"/>
    </x:row>
    <x:row r="16">
      <x:c r="A16" s="15" t="n">
        <x:v>46188</x:v>
      </x:c>
      <x:c r="B16" t="str">
        <x:v>월</x:v>
      </x:c>
      <x:c r="C16" s="19" t="n">
        <x:v>8571000</x:v>
      </x:c>
      <x:c r="D16" t="n">
        <x:v>265</x:v>
      </x:c>
      <x:c r="E16" s="19" t="n">
        <x:v>32343</x:v>
      </x:c>
      <x:c r="F16" s="19" t="n">
        <x:v>2208000</x:v>
      </x:c>
      <x:c r="G16" s="23" t="n">
        <x:v>0.2576128806440322</x:v>
      </x:c>
      <x:c r="H16" s="19" t="n">
        <x:v>2824000</x:v>
      </x:c>
      <x:c r="I16" s="23" t="n">
        <x:v>0.32948314082370783</x:v>
      </x:c>
      <x:c r="J16" t="n">
        <x:v>132.5</x:v>
      </x:c>
      <x:c r="K16" t="n">
        <x:v>125.2</x:v>
      </x:c>
      <x:c r="L16" t="n">
        <x:v>2.1</x:v>
      </x:c>
      <x:c r="M16" t="n">
        <x:v>1</x:v>
      </x:c>
      <x:c r="N16" t="n">
        <x:v>4.3</x:v>
      </x:c>
      <x:c r="O16" t="n">
        <x:v>3.7</x:v>
      </x:c>
      <x:c r="P16" t="n">
        <x:v>-0.5</x:v>
      </x:c>
      <x:c r="Q16" t="n">
        <x:v>8</x:v>
      </x:c>
      <x:c r="R16" t="n">
        <x:v>4.58</x:v>
      </x:c>
      <x:c r="S16" t="n">
        <x:v>1</x:v>
      </x:c>
      <x:c r="T16" s="19" t="n">
        <x:v>3539000</x:v>
      </x:c>
      <x:c r="U16" t="str">
        <x:v>OK</x:v>
      </x:c>
      <x:c r="V16" t="str"/>
    </x:row>
    <x:row r="17">
      <x:c r="A17" s="15" t="n">
        <x:v>46189</x:v>
      </x:c>
      <x:c r="B17" t="str">
        <x:v>화</x:v>
      </x:c>
      <x:c r="C17" s="19" t="n">
        <x:v>9869000</x:v>
      </x:c>
      <x:c r="D17" t="n">
        <x:v>310</x:v>
      </x:c>
      <x:c r="E17" s="19" t="n">
        <x:v>31835</x:v>
      </x:c>
      <x:c r="F17" s="19" t="n">
        <x:v>2743000</x:v>
      </x:c>
      <x:c r="G17" s="23" t="n">
        <x:v>0.2779410274597224</x:v>
      </x:c>
      <x:c r="H17" s="19" t="n">
        <x:v>3302000</x:v>
      </x:c>
      <x:c r="I17" s="23" t="n">
        <x:v>0.334583037795116</x:v>
      </x:c>
      <x:c r="J17" t="n">
        <x:v>149.4</x:v>
      </x:c>
      <x:c r="K17" t="n">
        <x:v>137.9</x:v>
      </x:c>
      <x:c r="L17" t="n">
        <x:v>1.7</x:v>
      </x:c>
      <x:c r="M17" t="n">
        <x:v>1.4</x:v>
      </x:c>
      <x:c r="N17" t="n">
        <x:v>8.4</x:v>
      </x:c>
      <x:c r="O17" t="n">
        <x:v>7.7</x:v>
      </x:c>
      <x:c r="P17" t="n">
        <x:v>-0.7</x:v>
      </x:c>
      <x:c r="Q17" t="n">
        <x:v>8</x:v>
      </x:c>
      <x:c r="R17" t="n">
        <x:v>4.5</x:v>
      </x:c>
      <x:c r="S17" t="n">
        <x:v>0</x:v>
      </x:c>
      <x:c r="T17" s="19" t="n">
        <x:v>3824000</x:v>
      </x:c>
      <x:c r="U17" t="str">
        <x:v>OK</x:v>
      </x:c>
      <x:c r="V17" t="str"/>
    </x:row>
    <x:row r="18">
      <x:c r="A18" s="15" t="n">
        <x:v>46190</x:v>
      </x:c>
      <x:c r="B18" t="str">
        <x:v>수</x:v>
      </x:c>
      <x:c r="C18" s="19" t="n">
        <x:v>9515000</x:v>
      </x:c>
      <x:c r="D18" t="n">
        <x:v>286</x:v>
      </x:c>
      <x:c r="E18" s="19" t="n">
        <x:v>33269</x:v>
      </x:c>
      <x:c r="F18" s="19" t="n">
        <x:v>2661000</x:v>
      </x:c>
      <x:c r="G18" s="23" t="n">
        <x:v>0.2796636889122438</x:v>
      </x:c>
      <x:c r="H18" s="19" t="n">
        <x:v>3067000</x:v>
      </x:c>
      <x:c r="I18" s="23" t="n">
        <x:v>0.3223331581713085</x:v>
      </x:c>
      <x:c r="J18" t="n">
        <x:v>153.1</x:v>
      </x:c>
      <x:c r="K18" t="n">
        <x:v>148.2</x:v>
      </x:c>
      <x:c r="L18" t="n">
        <x:v>2.6</x:v>
      </x:c>
      <x:c r="M18" t="n">
        <x:v>1.1</x:v>
      </x:c>
      <x:c r="N18" t="n">
        <x:v>1.2</x:v>
      </x:c>
      <x:c r="O18" t="n">
        <x:v>0.2</x:v>
      </x:c>
      <x:c r="P18" t="n">
        <x:v>-1</x:v>
      </x:c>
      <x:c r="Q18" t="n">
        <x:v>10</x:v>
      </x:c>
      <x:c r="R18" t="n">
        <x:v>4.55</x:v>
      </x:c>
      <x:c r="S18" t="n">
        <x:v>0</x:v>
      </x:c>
      <x:c r="T18" s="19" t="n">
        <x:v>3787000</x:v>
      </x:c>
      <x:c r="U18" t="str">
        <x:v>OK</x:v>
      </x:c>
      <x:c r="V18" t="str"/>
    </x:row>
    <x:row r="19">
      <x:c r="A19" s="15" t="n">
        <x:v>46191</x:v>
      </x:c>
      <x:c r="B19" t="str">
        <x:v>목</x:v>
      </x:c>
      <x:c r="C19" s="19" t="n">
        <x:v>11234000</x:v>
      </x:c>
      <x:c r="D19" t="n">
        <x:v>360</x:v>
      </x:c>
      <x:c r="E19" s="19" t="n">
        <x:v>31206</x:v>
      </x:c>
      <x:c r="F19" s="19" t="n">
        <x:v>3127000</x:v>
      </x:c>
      <x:c r="G19" s="23" t="n">
        <x:v>0.278351433149368</x:v>
      </x:c>
      <x:c r="H19" s="19" t="n">
        <x:v>3655000</x:v>
      </x:c>
      <x:c r="I19" s="23" t="n">
        <x:v>0.3253516111803454</x:v>
      </x:c>
      <x:c r="J19" t="n">
        <x:v>175.9</x:v>
      </x:c>
      <x:c r="K19" t="n">
        <x:v>165</x:v>
      </x:c>
      <x:c r="L19" t="n">
        <x:v>2.2</x:v>
      </x:c>
      <x:c r="M19" t="n">
        <x:v>1.8</x:v>
      </x:c>
      <x:c r="N19" t="n">
        <x:v>6.9</x:v>
      </x:c>
      <x:c r="O19" t="n">
        <x:v>6.7</x:v>
      </x:c>
      <x:c r="P19" t="n">
        <x:v>-0.2</x:v>
      </x:c>
      <x:c r="Q19" t="n">
        <x:v>10</x:v>
      </x:c>
      <x:c r="R19" t="n">
        <x:v>4.66</x:v>
      </x:c>
      <x:c r="S19" t="n">
        <x:v>0</x:v>
      </x:c>
      <x:c r="T19" s="19" t="n">
        <x:v>4452000</x:v>
      </x:c>
      <x:c r="U19" t="str">
        <x:v>OK</x:v>
      </x:c>
      <x:c r="V19" t="str"/>
    </x:row>
    <x:row r="20">
      <x:c r="A20" s="15" t="n">
        <x:v>46192</x:v>
      </x:c>
      <x:c r="B20" t="str">
        <x:v>금</x:v>
      </x:c>
      <x:c r="C20" s="19" t="n">
        <x:v>12728000</x:v>
      </x:c>
      <x:c r="D20" t="n">
        <x:v>391</x:v>
      </x:c>
      <x:c r="E20" s="19" t="n">
        <x:v>32552</x:v>
      </x:c>
      <x:c r="F20" s="19" t="n">
        <x:v>3268000</x:v>
      </x:c>
      <x:c r="G20" s="23" t="n">
        <x:v>0.25675675675675674</x:v>
      </x:c>
      <x:c r="H20" s="19" t="n">
        <x:v>4069000</x:v>
      </x:c>
      <x:c r="I20" s="23" t="n">
        <x:v>0.31968887492143305</x:v>
      </x:c>
      <x:c r="J20" t="n">
        <x:v>196.4</x:v>
      </x:c>
      <x:c r="K20" t="n">
        <x:v>187</x:v>
      </x:c>
      <x:c r="L20" t="n">
        <x:v>2.4</x:v>
      </x:c>
      <x:c r="M20" t="n">
        <x:v>1.2</x:v>
      </x:c>
      <x:c r="N20" t="n">
        <x:v>5.8</x:v>
      </x:c>
      <x:c r="O20" t="n">
        <x:v>5.5</x:v>
      </x:c>
      <x:c r="P20" t="n">
        <x:v>-0.3</x:v>
      </x:c>
      <x:c r="Q20" t="n">
        <x:v>11</x:v>
      </x:c>
      <x:c r="R20" t="n">
        <x:v>4.76</x:v>
      </x:c>
      <x:c r="S20" t="n">
        <x:v>0</x:v>
      </x:c>
      <x:c r="T20" s="19" t="n">
        <x:v>5391000</x:v>
      </x:c>
      <x:c r="U20" t="str">
        <x:v>OK</x:v>
      </x:c>
      <x:c r="V20" t="str"/>
    </x:row>
    <x:row r="21">
      <x:c r="A21" s="15" t="n">
        <x:v>46193</x:v>
      </x:c>
      <x:c r="B21" t="str">
        <x:v>토</x:v>
      </x:c>
      <x:c r="C21" s="19" t="n">
        <x:v>13778000</x:v>
      </x:c>
      <x:c r="D21" t="n">
        <x:v>436</x:v>
      </x:c>
      <x:c r="E21" s="19" t="n">
        <x:v>31601</x:v>
      </x:c>
      <x:c r="F21" s="19" t="n">
        <x:v>3749000</x:v>
      </x:c>
      <x:c r="G21" s="23" t="n">
        <x:v>0.2721004499927421</x:v>
      </x:c>
      <x:c r="H21" s="19" t="n">
        <x:v>4352000</x:v>
      </x:c>
      <x:c r="I21" s="23" t="n">
        <x:v>0.31586587313107856</x:v>
      </x:c>
      <x:c r="J21" t="n">
        <x:v>213.2</x:v>
      </x:c>
      <x:c r="K21" t="n">
        <x:v>199.8</x:v>
      </x:c>
      <x:c r="L21" t="n">
        <x:v>2.9</x:v>
      </x:c>
      <x:c r="M21" t="n">
        <x:v>1.1</x:v>
      </x:c>
      <x:c r="N21" t="n">
        <x:v>9.4</x:v>
      </x:c>
      <x:c r="O21" t="n">
        <x:v>9.1</x:v>
      </x:c>
      <x:c r="P21" t="n">
        <x:v>-0.3</x:v>
      </x:c>
      <x:c r="Q21" t="n">
        <x:v>15</x:v>
      </x:c>
      <x:c r="R21" t="n">
        <x:v>4.52</x:v>
      </x:c>
      <x:c r="S21" t="n">
        <x:v>0</x:v>
      </x:c>
      <x:c r="T21" s="19" t="n">
        <x:v>5677000</x:v>
      </x:c>
      <x:c r="U21" t="str">
        <x:v>OK</x:v>
      </x:c>
      <x:c r="V21" t="str"/>
    </x:row>
    <x:row r="22">
      <x:c r="A22" s="15" t="n">
        <x:v>46194</x:v>
      </x:c>
      <x:c r="B22" t="str">
        <x:v>일</x:v>
      </x:c>
      <x:c r="C22" s="19" t="n">
        <x:v>12103000</x:v>
      </x:c>
      <x:c r="D22" t="n">
        <x:v>382</x:v>
      </x:c>
      <x:c r="E22" s="19" t="n">
        <x:v>31683</x:v>
      </x:c>
      <x:c r="F22" s="19" t="n">
        <x:v>3410000</x:v>
      </x:c>
      <x:c r="G22" s="23" t="n">
        <x:v>0.2817483268611088</x:v>
      </x:c>
      <x:c r="H22" s="19" t="n">
        <x:v>3993000</x:v>
      </x:c>
      <x:c r="I22" s="23" t="n">
        <x:v>0.32991820209865325</x:v>
      </x:c>
      <x:c r="J22" t="n">
        <x:v>182.8</x:v>
      </x:c>
      <x:c r="K22" t="n">
        <x:v>169.6</x:v>
      </x:c>
      <x:c r="L22" t="n">
        <x:v>3.5</x:v>
      </x:c>
      <x:c r="M22" t="n">
        <x:v>1.3</x:v>
      </x:c>
      <x:c r="N22" t="n">
        <x:v>8.3</x:v>
      </x:c>
      <x:c r="O22" t="n">
        <x:v>8</x:v>
      </x:c>
      <x:c r="P22" t="n">
        <x:v>-0.3</x:v>
      </x:c>
      <x:c r="Q22" t="n">
        <x:v>16</x:v>
      </x:c>
      <x:c r="R22" t="n">
        <x:v>4.59</x:v>
      </x:c>
      <x:c r="S22" t="n">
        <x:v>0</x:v>
      </x:c>
      <x:c r="T22" s="19" t="n">
        <x:v>4700000</x:v>
      </x:c>
      <x:c r="U22" t="str">
        <x:v>OK</x:v>
      </x:c>
      <x:c r="V22" t="str"/>
    </x:row>
    <x:row r="23">
      <x:c r="A23" s="15" t="n">
        <x:v>46195</x:v>
      </x:c>
      <x:c r="B23" t="str">
        <x:v>월</x:v>
      </x:c>
      <x:c r="C23" s="19" t="n">
        <x:v>9205000</x:v>
      </x:c>
      <x:c r="D23" t="n">
        <x:v>291</x:v>
      </x:c>
      <x:c r="E23" s="19" t="n">
        <x:v>31632</x:v>
      </x:c>
      <x:c r="F23" s="19" t="n">
        <x:v>2476000</x:v>
      </x:c>
      <x:c r="G23" s="23" t="n">
        <x:v>0.268984247691472</x:v>
      </x:c>
      <x:c r="H23" s="19" t="n">
        <x:v>3022000</x:v>
      </x:c>
      <x:c r="I23" s="23" t="n">
        <x:v>0.3282998370450842</x:v>
      </x:c>
      <x:c r="J23" t="n">
        <x:v>145.5</x:v>
      </x:c>
      <x:c r="K23" t="n">
        <x:v>136.3</x:v>
      </x:c>
      <x:c r="L23" t="n">
        <x:v>2</x:v>
      </x:c>
      <x:c r="M23" t="n">
        <x:v>1.2</x:v>
      </x:c>
      <x:c r="N23" t="n">
        <x:v>6</x:v>
      </x:c>
      <x:c r="O23" t="n">
        <x:v>6.1</x:v>
      </x:c>
      <x:c r="P23" t="n">
        <x:v>0.1</x:v>
      </x:c>
      <x:c r="Q23" t="n">
        <x:v>11</x:v>
      </x:c>
      <x:c r="R23" t="n">
        <x:v>4.48</x:v>
      </x:c>
      <x:c r="S23" t="n">
        <x:v>0</x:v>
      </x:c>
      <x:c r="T23" s="19" t="n">
        <x:v>3707000</x:v>
      </x:c>
      <x:c r="U23" t="str">
        <x:v>OK</x:v>
      </x:c>
      <x:c r="V23" t="str"/>
    </x:row>
    <x:row r="24">
      <x:c r="A24" s="15" t="n">
        <x:v>46196</x:v>
      </x:c>
      <x:c r="B24" t="str">
        <x:v>화</x:v>
      </x:c>
      <x:c r="C24" s="19" t="n">
        <x:v>8936000</x:v>
      </x:c>
      <x:c r="D24" t="n">
        <x:v>268</x:v>
      </x:c>
      <x:c r="E24" s="19" t="n">
        <x:v>33343</x:v>
      </x:c>
      <x:c r="F24" s="19" t="n">
        <x:v>2281000</x:v>
      </x:c>
      <x:c r="G24" s="23" t="n">
        <x:v>0.25525962399283797</x:v>
      </x:c>
      <x:c r="H24" s="19" t="n">
        <x:v>2916000</x:v>
      </x:c>
      <x:c r="I24" s="23" t="n">
        <x:v>0.3263205013428827</x:v>
      </x:c>
      <x:c r="J24" t="n">
        <x:v>141.9</x:v>
      </x:c>
      <x:c r="K24" t="n">
        <x:v>129.3</x:v>
      </x:c>
      <x:c r="L24" t="n">
        <x:v>2.3</x:v>
      </x:c>
      <x:c r="M24" t="n">
        <x:v>1.5</x:v>
      </x:c>
      <x:c r="N24" t="n">
        <x:v>8.7</x:v>
      </x:c>
      <x:c r="O24" t="n">
        <x:v>7.9</x:v>
      </x:c>
      <x:c r="P24" t="n">
        <x:v>-0.8</x:v>
      </x:c>
      <x:c r="Q24" t="n">
        <x:v>9</x:v>
      </x:c>
      <x:c r="R24" t="n">
        <x:v>4.6</x:v>
      </x:c>
      <x:c r="S24" t="n">
        <x:v>0</x:v>
      </x:c>
      <x:c r="T24" s="19" t="n">
        <x:v>3739000</x:v>
      </x:c>
      <x:c r="U24" t="str">
        <x:v>OK</x:v>
      </x:c>
      <x:c r="V24" t="str"/>
    </x:row>
    <x:row r="25">
      <x:c r="A25" s="15" t="n">
        <x:v>46197</x:v>
      </x:c>
      <x:c r="B25" t="str">
        <x:v>수</x:v>
      </x:c>
      <x:c r="C25" s="19" t="n">
        <x:v>9620000</x:v>
      </x:c>
      <x:c r="D25" t="n">
        <x:v>314</x:v>
      </x:c>
      <x:c r="E25" s="19" t="n">
        <x:v>30637</x:v>
      </x:c>
      <x:c r="F25" s="19" t="n">
        <x:v>2665000</x:v>
      </x:c>
      <x:c r="G25" s="23" t="n">
        <x:v>0.27702702702702703</x:v>
      </x:c>
      <x:c r="H25" s="19" t="n">
        <x:v>3013000</x:v>
      </x:c>
      <x:c r="I25" s="23" t="n">
        <x:v>0.3132016632016632</x:v>
      </x:c>
      <x:c r="J25" t="n">
        <x:v>158.4</x:v>
      </x:c>
      <x:c r="K25" t="n">
        <x:v>149.1</x:v>
      </x:c>
      <x:c r="L25" t="n">
        <x:v>2.1</x:v>
      </x:c>
      <x:c r="M25" t="n">
        <x:v>1.1</x:v>
      </x:c>
      <x:c r="N25" t="n">
        <x:v>6.1</x:v>
      </x:c>
      <x:c r="O25" t="n">
        <x:v>0</x:v>
      </x:c>
      <x:c r="P25" t="n">
        <x:v>-6.1</x:v>
      </x:c>
      <x:c r="Q25" t="n">
        <x:v>11</x:v>
      </x:c>
      <x:c r="R25" t="n">
        <x:v>4.64</x:v>
      </x:c>
      <x:c r="S25" t="n">
        <x:v>0</x:v>
      </x:c>
      <x:c r="T25" s="19" t="n">
        <x:v>3942000</x:v>
      </x:c>
      <x:c r="U25" t="str">
        <x:v>OK</x:v>
      </x:c>
      <x:c r="V25" t="str">
        <x:v>GA-002</x:v>
      </x:c>
    </x:row>
    <x:row r="26">
      <x:c r="A26" s="15" t="n">
        <x:v>46198</x:v>
      </x:c>
      <x:c r="B26" t="str">
        <x:v>목</x:v>
      </x:c>
      <x:c r="C26" s="19" t="n">
        <x:v>10867000</x:v>
      </x:c>
      <x:c r="D26" t="n">
        <x:v>333</x:v>
      </x:c>
      <x:c r="E26" s="19" t="n">
        <x:v>32634</x:v>
      </x:c>
      <x:c r="F26" s="19" t="n">
        <x:v>2976000</x:v>
      </x:c>
      <x:c r="G26" s="23" t="n">
        <x:v>0.2738566301647189</x:v>
      </x:c>
      <x:c r="H26" s="19" t="n">
        <x:v>3586000</x:v>
      </x:c>
      <x:c r="I26" s="23" t="n">
        <x:v>0.3299898776111162</x:v>
      </x:c>
      <x:c r="J26" t="n">
        <x:v>172.9</x:v>
      </x:c>
      <x:c r="K26" t="n">
        <x:v>164.8</x:v>
      </x:c>
      <x:c r="L26" t="n">
        <x:v>2.6</x:v>
      </x:c>
      <x:c r="M26" t="n">
        <x:v>1.5</x:v>
      </x:c>
      <x:c r="N26" t="n">
        <x:v>3.9</x:v>
      </x:c>
      <x:c r="O26" t="n">
        <x:v>3.7</x:v>
      </x:c>
      <x:c r="P26" t="n">
        <x:v>-0.2</x:v>
      </x:c>
      <x:c r="Q26" t="n">
        <x:v>9</x:v>
      </x:c>
      <x:c r="R26" t="n">
        <x:v>4.7</x:v>
      </x:c>
      <x:c r="S26" t="n">
        <x:v>1</x:v>
      </x:c>
      <x:c r="T26" s="19" t="n">
        <x:v>4305000</x:v>
      </x:c>
      <x:c r="U26" t="str">
        <x:v>OK</x:v>
      </x:c>
      <x:c r="V26" t="str"/>
    </x:row>
    <x:row r="27">
      <x:c r="A27" s="15" t="n">
        <x:v>46199</x:v>
      </x:c>
      <x:c r="B27" t="str">
        <x:v>금</x:v>
      </x:c>
      <x:c r="C27" s="19" t="n">
        <x:v>12483000</x:v>
      </x:c>
      <x:c r="D27" t="n">
        <x:v>369</x:v>
      </x:c>
      <x:c r="E27" s="19" t="n">
        <x:v>33829</x:v>
      </x:c>
      <x:c r="F27" s="19" t="n">
        <x:v>3289000</x:v>
      </x:c>
      <x:c r="G27" s="23" t="n">
        <x:v>0.26347833052952013</x:v>
      </x:c>
      <x:c r="H27" s="19" t="n">
        <x:v>4103000</x:v>
      </x:c>
      <x:c r="I27" s="23" t="n">
        <x:v>0.3286870143395017</x:v>
      </x:c>
      <x:c r="J27" t="n">
        <x:v>207.6</x:v>
      </x:c>
      <x:c r="K27" t="n">
        <x:v>192.4</x:v>
      </x:c>
      <x:c r="L27" t="n">
        <x:v>4.1</x:v>
      </x:c>
      <x:c r="M27" t="n">
        <x:v>1.8</x:v>
      </x:c>
      <x:c r="N27" t="n">
        <x:v>9.4</x:v>
      </x:c>
      <x:c r="O27" t="n">
        <x:v>8.7</x:v>
      </x:c>
      <x:c r="P27" t="n">
        <x:v>-0.7</x:v>
      </x:c>
      <x:c r="Q27" t="n">
        <x:v>10</x:v>
      </x:c>
      <x:c r="R27" t="n">
        <x:v>4.65</x:v>
      </x:c>
      <x:c r="S27" t="n">
        <x:v>0</x:v>
      </x:c>
      <x:c r="T27" s="19" t="n">
        <x:v>5091000</x:v>
      </x:c>
      <x:c r="U27" t="str">
        <x:v>OK</x:v>
      </x:c>
      <x:c r="V27" t="str"/>
    </x:row>
    <x:row r="28">
      <x:c r="A28" s="15" t="n">
        <x:v>46200</x:v>
      </x:c>
      <x:c r="B28" t="str">
        <x:v>토</x:v>
      </x:c>
      <x:c r="C28" s="19" t="n">
        <x:v>14236000</x:v>
      </x:c>
      <x:c r="D28" t="n">
        <x:v>425</x:v>
      </x:c>
      <x:c r="E28" s="19" t="n">
        <x:v>33496</x:v>
      </x:c>
      <x:c r="F28" s="19" t="n">
        <x:v>3775000</x:v>
      </x:c>
      <x:c r="G28" s="23" t="n">
        <x:v>0.2651728013486935</x:v>
      </x:c>
      <x:c r="H28" s="19" t="n">
        <x:v>4764000</x:v>
      </x:c>
      <x:c r="I28" s="23" t="n">
        <x:v>0.33464456307951673</x:v>
      </x:c>
      <x:c r="J28" t="n">
        <x:v>243.7</x:v>
      </x:c>
      <x:c r="K28" t="n">
        <x:v>221.8</x:v>
      </x:c>
      <x:c r="L28" t="n">
        <x:v>4.1</x:v>
      </x:c>
      <x:c r="M28" t="n">
        <x:v>1.4</x:v>
      </x:c>
      <x:c r="N28" t="n">
        <x:v>16.5</x:v>
      </x:c>
      <x:c r="O28" t="n">
        <x:v>17.4</x:v>
      </x:c>
      <x:c r="P28" t="n">
        <x:v>0.9</x:v>
      </x:c>
      <x:c r="Q28" t="n">
        <x:v>16</x:v>
      </x:c>
      <x:c r="R28" t="n">
        <x:v>4.49</x:v>
      </x:c>
      <x:c r="S28" t="n">
        <x:v>1</x:v>
      </x:c>
      <x:c r="T28" s="19" t="n">
        <x:v>5697000</x:v>
      </x:c>
      <x:c r="U28" t="str">
        <x:v>OK</x:v>
      </x:c>
      <x:c r="V28" t="str"/>
    </x:row>
    <x:row r="29">
      <x:c r="A29" s="15" t="n">
        <x:v>46201</x:v>
      </x:c>
      <x:c r="B29" t="str">
        <x:v>일</x:v>
      </x:c>
      <x:c r="C29" s="19" t="n">
        <x:v>12236000</x:v>
      </x:c>
      <x:c r="D29" t="n">
        <x:v>360</x:v>
      </x:c>
      <x:c r="E29" s="19" t="n">
        <x:v>33989</x:v>
      </x:c>
      <x:c r="F29" s="19" t="n">
        <x:v>3113000</x:v>
      </x:c>
      <x:c r="G29" s="23" t="n">
        <x:v>0.2544132069303694</x:v>
      </x:c>
      <x:c r="H29" s="19" t="n">
        <x:v>3903000</x:v>
      </x:c>
      <x:c r="I29" s="23" t="n">
        <x:v>0.3189767898005884</x:v>
      </x:c>
      <x:c r="J29" t="n">
        <x:v>192.5</x:v>
      </x:c>
      <x:c r="K29" t="n">
        <x:v>183</x:v>
      </x:c>
      <x:c r="L29" t="n">
        <x:v>3.1</x:v>
      </x:c>
      <x:c r="M29" t="n">
        <x:v>1.6</x:v>
      </x:c>
      <x:c r="N29" t="n">
        <x:v>4.8</x:v>
      </x:c>
      <x:c r="O29" t="n">
        <x:v>3.9</x:v>
      </x:c>
      <x:c r="P29" t="n">
        <x:v>-0.9</x:v>
      </x:c>
      <x:c r="Q29" t="n">
        <x:v>11</x:v>
      </x:c>
      <x:c r="R29" t="n">
        <x:v>4.4</x:v>
      </x:c>
      <x:c r="S29" t="n">
        <x:v>0</x:v>
      </x:c>
      <x:c r="T29" s="19" t="n">
        <x:v>5220000</x:v>
      </x:c>
      <x:c r="U29" t="str">
        <x:v>OK</x:v>
      </x:c>
      <x:c r="V29" t="str"/>
    </x:row>
    <x:row r="30">
      <x:c r="A30" s="15" t="n">
        <x:v>46202</x:v>
      </x:c>
      <x:c r="B30" t="str">
        <x:v>월</x:v>
      </x:c>
      <x:c r="C30" s="19" t="n">
        <x:v>8277000</x:v>
      </x:c>
      <x:c r="D30" t="n">
        <x:v>255</x:v>
      </x:c>
      <x:c r="E30" s="19" t="n">
        <x:v>32459</x:v>
      </x:c>
      <x:c r="F30" s="19" t="n">
        <x:v>2333000</x:v>
      </x:c>
      <x:c r="G30" s="23" t="n">
        <x:v>0.2818654101727679</x:v>
      </x:c>
      <x:c r="H30" s="19" t="n">
        <x:v>2696000</x:v>
      </x:c>
      <x:c r="I30" s="23" t="n">
        <x:v>0.3257218799081793</x:v>
      </x:c>
      <x:c r="J30" t="n">
        <x:v>134.4</x:v>
      </x:c>
      <x:c r="K30" t="n">
        <x:v>125.9</x:v>
      </x:c>
      <x:c r="L30" t="n">
        <x:v>1.6</x:v>
      </x:c>
      <x:c r="M30" t="n">
        <x:v>1</x:v>
      </x:c>
      <x:c r="N30" t="n">
        <x:v>5.9</x:v>
      </x:c>
      <x:c r="O30" t="n">
        <x:v>5.1</x:v>
      </x:c>
      <x:c r="P30" t="n">
        <x:v>-0.9</x:v>
      </x:c>
      <x:c r="Q30" t="n">
        <x:v>11</x:v>
      </x:c>
      <x:c r="R30" t="n">
        <x:v>4.57</x:v>
      </x:c>
      <x:c r="S30" t="n">
        <x:v>2</x:v>
      </x:c>
      <x:c r="T30" s="19" t="n">
        <x:v>3248000</x:v>
      </x:c>
      <x:c r="U30" t="str">
        <x:v>OK</x:v>
      </x:c>
      <x:c r="V30" t="str"/>
    </x:row>
    <x:row r="31">
      <x:c r="A31" s="15" t="n">
        <x:v>46203</x:v>
      </x:c>
      <x:c r="B31" t="str">
        <x:v>화</x:v>
      </x:c>
      <x:c r="C31" s="19" t="n">
        <x:v>9055000</x:v>
      </x:c>
      <x:c r="D31" t="n">
        <x:v>286</x:v>
      </x:c>
      <x:c r="E31" s="19" t="n">
        <x:v>31661</x:v>
      </x:c>
      <x:c r="F31" s="19" t="n">
        <x:v>2308000</x:v>
      </x:c>
      <x:c r="G31" s="23" t="n">
        <x:v>0.2548868028713418</x:v>
      </x:c>
      <x:c r="H31" s="19" t="n">
        <x:v>2895000</x:v>
      </x:c>
      <x:c r="I31" s="23" t="n">
        <x:v>0.319712865819989</x:v>
      </x:c>
      <x:c r="J31" t="n">
        <x:v>142.7</x:v>
      </x:c>
      <x:c r="K31" t="n">
        <x:v>138.5</x:v>
      </x:c>
      <x:c r="L31" t="n">
        <x:v>1.9</x:v>
      </x:c>
      <x:c r="M31" t="n">
        <x:v>1.2</x:v>
      </x:c>
      <x:c r="N31" t="n">
        <x:v>1.1</x:v>
      </x:c>
      <x:c r="O31" t="n">
        <x:v>1</x:v>
      </x:c>
      <x:c r="P31" t="n">
        <x:v>-0.1</x:v>
      </x:c>
      <x:c r="Q31" t="n">
        <x:v>11</x:v>
      </x:c>
      <x:c r="R31" t="n">
        <x:v>4.69</x:v>
      </x:c>
      <x:c r="S31" t="n">
        <x:v>0</x:v>
      </x:c>
      <x:c r="T31" s="19" t="n">
        <x:v>3852000</x:v>
      </x:c>
      <x:c r="U31" t="str">
        <x:v>OK</x:v>
      </x:c>
      <x:c r="V31" t="str"/>
    </x:row>
    <x:row r="32">
      <x:c r="A32" s="15" t="n">
        <x:v>46204</x:v>
      </x:c>
      <x:c r="B32" t="str">
        <x:v>수</x:v>
      </x:c>
      <x:c r="C32" s="19" t="n">
        <x:v>10200000</x:v>
      </x:c>
      <x:c r="D32" t="n">
        <x:v>330</x:v>
      </x:c>
      <x:c r="E32" s="19" t="n">
        <x:v>30909</x:v>
      </x:c>
      <x:c r="F32" s="19" t="n">
        <x:v>2780000</x:v>
      </x:c>
      <x:c r="G32" s="23" t="n">
        <x:v>0.2725490196078431</x:v>
      </x:c>
      <x:c r="H32" s="19" t="n">
        <x:v>3195000</x:v>
      </x:c>
      <x:c r="I32" s="23" t="n">
        <x:v>0.31323529411764706</x:v>
      </x:c>
      <x:c r="J32" t="n">
        <x:v>158.2</x:v>
      </x:c>
      <x:c r="K32" t="n">
        <x:v>146.1</x:v>
      </x:c>
      <x:c r="L32" t="n">
        <x:v>2.6</x:v>
      </x:c>
      <x:c r="M32" t="n">
        <x:v>1.6</x:v>
      </x:c>
      <x:c r="N32" t="n">
        <x:v>7.9</x:v>
      </x:c>
      <x:c r="O32" t="n">
        <x:v>8.5</x:v>
      </x:c>
      <x:c r="P32" t="n">
        <x:v>0.6</x:v>
      </x:c>
      <x:c r="Q32" t="n">
        <x:v>9</x:v>
      </x:c>
      <x:c r="R32" t="n">
        <x:v>4.63</x:v>
      </x:c>
      <x:c r="S32" t="n">
        <x:v>1</x:v>
      </x:c>
      <x:c r="T32" s="19" t="n">
        <x:v>4225000</x:v>
      </x:c>
      <x:c r="U32" t="str">
        <x:v>OK</x:v>
      </x:c>
      <x:c r="V32" t="str"/>
    </x:row>
    <x:row r="33">
      <x:c r="A33" s="15" t="n">
        <x:v>46205</x:v>
      </x:c>
      <x:c r="B33" t="str">
        <x:v>목</x:v>
      </x:c>
      <x:c r="C33" s="19" t="n">
        <x:v>10524000</x:v>
      </x:c>
      <x:c r="D33" t="n">
        <x:v>324</x:v>
      </x:c>
      <x:c r="E33" s="19" t="n">
        <x:v>32481</x:v>
      </x:c>
      <x:c r="F33" s="19" t="n">
        <x:v>2785000</x:v>
      </x:c>
      <x:c r="G33" s="23" t="n">
        <x:v>0.2646332193082478</x:v>
      </x:c>
      <x:c r="H33" s="19" t="n">
        <x:v>3338000</x:v>
      </x:c>
      <x:c r="I33" s="23" t="n">
        <x:v>0.31717977955150134</x:v>
      </x:c>
      <x:c r="J33" t="n">
        <x:v>167.8</x:v>
      </x:c>
      <x:c r="K33" t="n">
        <x:v>156.7</x:v>
      </x:c>
      <x:c r="L33" t="n">
        <x:v>2.1</x:v>
      </x:c>
      <x:c r="M33" t="n">
        <x:v>0.8</x:v>
      </x:c>
      <x:c r="N33" t="n">
        <x:v>8.3</x:v>
      </x:c>
      <x:c r="O33" t="n">
        <x:v>7.8</x:v>
      </x:c>
      <x:c r="P33" t="n">
        <x:v>-0.5</x:v>
      </x:c>
      <x:c r="Q33" t="n">
        <x:v>10</x:v>
      </x:c>
      <x:c r="R33" t="n">
        <x:v>4.49</x:v>
      </x:c>
      <x:c r="S33" t="n">
        <x:v>0</x:v>
      </x:c>
      <x:c r="T33" s="19" t="n">
        <x:v>4401000</x:v>
      </x:c>
      <x:c r="U33" t="str">
        <x:v>OK</x:v>
      </x:c>
      <x:c r="V33" t="str"/>
    </x:row>
    <x:row r="34">
      <x:c r="A34" s="15" t="n">
        <x:v>46206</x:v>
      </x:c>
      <x:c r="B34" t="str">
        <x:v>금</x:v>
      </x:c>
      <x:c r="C34" s="19" t="n">
        <x:v>12364000</x:v>
      </x:c>
      <x:c r="D34" t="n">
        <x:v>374</x:v>
      </x:c>
      <x:c r="E34" s="19" t="n">
        <x:v>33059</x:v>
      </x:c>
      <x:c r="F34" s="19" t="n">
        <x:v>3116000</x:v>
      </x:c>
      <x:c r="G34" s="23" t="n">
        <x:v>0.2520219993529602</x:v>
      </x:c>
      <x:c r="H34" s="19" t="n">
        <x:v>4086000</x:v>
      </x:c>
      <x:c r="I34" s="23" t="n">
        <x:v>0.33047557424781626</x:v>
      </x:c>
      <x:c r="J34" t="n">
        <x:v>183</x:v>
      </x:c>
      <x:c r="K34" t="n">
        <x:v>174.7</x:v>
      </x:c>
      <x:c r="L34" t="n">
        <x:v>2.7</x:v>
      </x:c>
      <x:c r="M34" t="n">
        <x:v>1</x:v>
      </x:c>
      <x:c r="N34" t="n">
        <x:v>4.6</x:v>
      </x:c>
      <x:c r="O34" t="n">
        <x:v>4.6</x:v>
      </x:c>
      <x:c r="P34" t="n">
        <x:v>0</x:v>
      </x:c>
      <x:c r="Q34" t="n">
        <x:v>13</x:v>
      </x:c>
      <x:c r="R34" t="n">
        <x:v>4.64</x:v>
      </x:c>
      <x:c r="S34" t="n">
        <x:v>0</x:v>
      </x:c>
      <x:c r="T34" s="19" t="n">
        <x:v>5162000</x:v>
      </x:c>
      <x:c r="U34" t="str">
        <x:v>OK</x:v>
      </x:c>
      <x:c r="V34" t="str"/>
    </x:row>
    <x:row r="35">
      <x:c r="A35" s="15" t="n">
        <x:v>46207</x:v>
      </x:c>
      <x:c r="B35" t="str">
        <x:v>토</x:v>
      </x:c>
      <x:c r="C35" s="19" t="n">
        <x:v>14272000</x:v>
      </x:c>
      <x:c r="D35" t="n">
        <x:v>442</x:v>
      </x:c>
      <x:c r="E35" s="19" t="n">
        <x:v>32290</x:v>
      </x:c>
      <x:c r="F35" s="19" t="n">
        <x:v>3484000</x:v>
      </x:c>
      <x:c r="G35" s="23" t="n">
        <x:v>0.24411434977578475</x:v>
      </x:c>
      <x:c r="H35" s="19" t="n">
        <x:v>4675000</x:v>
      </x:c>
      <x:c r="I35" s="23" t="n">
        <x:v>0.3275644618834081</x:v>
      </x:c>
      <x:c r="J35" t="n">
        <x:v>227</x:v>
      </x:c>
      <x:c r="K35" t="n">
        <x:v>209.6</x:v>
      </x:c>
      <x:c r="L35" t="n">
        <x:v>4.1</x:v>
      </x:c>
      <x:c r="M35" t="n">
        <x:v>2.5</x:v>
      </x:c>
      <x:c r="N35" t="n">
        <x:v>10.8</x:v>
      </x:c>
      <x:c r="O35" t="n">
        <x:v>11.5</x:v>
      </x:c>
      <x:c r="P35" t="n">
        <x:v>0.7</x:v>
      </x:c>
      <x:c r="Q35" t="n">
        <x:v>16</x:v>
      </x:c>
      <x:c r="R35" t="n">
        <x:v>4.63</x:v>
      </x:c>
      <x:c r="S35" t="n">
        <x:v>1</x:v>
      </x:c>
      <x:c r="T35" s="19" t="n">
        <x:v>6113000</x:v>
      </x:c>
      <x:c r="U35" t="str">
        <x:v>OK</x:v>
      </x:c>
      <x:c r="V35" t="str"/>
    </x:row>
    <x:row r="36">
      <x:c r="A36" s="15" t="n">
        <x:v>46208</x:v>
      </x:c>
      <x:c r="B36" t="str">
        <x:v>일</x:v>
      </x:c>
      <x:c r="C36" s="19" t="n">
        <x:v>11335000</x:v>
      </x:c>
      <x:c r="D36" t="n">
        <x:v>344</x:v>
      </x:c>
      <x:c r="E36" s="19" t="n">
        <x:v>32951</x:v>
      </x:c>
      <x:c r="F36" s="19" t="n">
        <x:v>3055000</x:v>
      </x:c>
      <x:c r="G36" s="23" t="n">
        <x:v>0.2695191883546537</x:v>
      </x:c>
      <x:c r="H36" s="19" t="n">
        <x:v>3618000</x:v>
      </x:c>
      <x:c r="I36" s="23" t="n">
        <x:v>0.3191883546537274</x:v>
      </x:c>
      <x:c r="J36" t="n">
        <x:v>183.4</x:v>
      </x:c>
      <x:c r="K36" t="n">
        <x:v>167.7</x:v>
      </x:c>
      <x:c r="L36" t="n">
        <x:v>2.8</x:v>
      </x:c>
      <x:c r="M36" t="n">
        <x:v>1.2</x:v>
      </x:c>
      <x:c r="N36" t="n">
        <x:v>11.7</x:v>
      </x:c>
      <x:c r="O36" t="n">
        <x:v>10.5</x:v>
      </x:c>
      <x:c r="P36" t="n">
        <x:v>-1.2</x:v>
      </x:c>
      <x:c r="Q36" t="n">
        <x:v>14</x:v>
      </x:c>
      <x:c r="R36" t="n">
        <x:v>4.52</x:v>
      </x:c>
      <x:c r="S36" t="n">
        <x:v>0</x:v>
      </x:c>
      <x:c r="T36" s="19" t="n">
        <x:v>4662000</x:v>
      </x:c>
      <x:c r="U36" t="str">
        <x:v>OK</x:v>
      </x:c>
      <x:c r="V36" t="str"/>
    </x:row>
    <x:row r="37">
      <x:c r="A37" s="15" t="n">
        <x:v>46209</x:v>
      </x:c>
      <x:c r="B37" t="str">
        <x:v>월</x:v>
      </x:c>
      <x:c r="C37" s="19" t="n">
        <x:v>8819000</x:v>
      </x:c>
      <x:c r="D37" t="n">
        <x:v>275</x:v>
      </x:c>
      <x:c r="E37" s="19" t="n">
        <x:v>32069</x:v>
      </x:c>
      <x:c r="F37" s="19" t="n">
        <x:v>2412000</x:v>
      </x:c>
      <x:c r="G37" s="23" t="n">
        <x:v>0.27350039687039346</x:v>
      </x:c>
      <x:c r="H37" s="19" t="n">
        <x:v>2771000</x:v>
      </x:c>
      <x:c r="I37" s="23" t="n">
        <x:v>0.3142079600861776</x:v>
      </x:c>
      <x:c r="J37" t="n">
        <x:v>127.8</x:v>
      </x:c>
      <x:c r="K37" t="n">
        <x:v>122.7</x:v>
      </x:c>
      <x:c r="L37" t="n">
        <x:v>1.5</x:v>
      </x:c>
      <x:c r="M37" t="n">
        <x:v>1.1</x:v>
      </x:c>
      <x:c r="N37" t="n">
        <x:v>2.6</x:v>
      </x:c>
      <x:c r="O37" t="n">
        <x:v>3.2</x:v>
      </x:c>
      <x:c r="P37" t="n">
        <x:v>0.6</x:v>
      </x:c>
      <x:c r="Q37" t="n">
        <x:v>9</x:v>
      </x:c>
      <x:c r="R37" t="n">
        <x:v>4.63</x:v>
      </x:c>
      <x:c r="S37" t="n">
        <x:v>0</x:v>
      </x:c>
      <x:c r="T37" s="19" t="n">
        <x:v>3636000</x:v>
      </x:c>
      <x:c r="U37" t="str">
        <x:v>OK</x:v>
      </x:c>
      <x:c r="V37" t="str"/>
    </x:row>
    <x:row r="38">
      <x:c r="A38" s="15" t="n">
        <x:v>46210</x:v>
      </x:c>
      <x:c r="B38" t="str">
        <x:v>화</x:v>
      </x:c>
      <x:c r="C38" s="19" t="n">
        <x:v>9933000</x:v>
      </x:c>
      <x:c r="D38" t="n">
        <x:v>316</x:v>
      </x:c>
      <x:c r="E38" s="19" t="n">
        <x:v>31434</x:v>
      </x:c>
      <x:c r="F38" s="19" t="n">
        <x:v>2771000</x:v>
      </x:c>
      <x:c r="G38" s="23" t="n">
        <x:v>0.2789690929225813</x:v>
      </x:c>
      <x:c r="H38" s="19" t="n">
        <x:v>4062000</x:v>
      </x:c>
      <x:c r="I38" s="23" t="n">
        <x:v>0.4089398973119903</x:v>
      </x:c>
      <x:c r="J38" t="n">
        <x:v>159.1</x:v>
      </x:c>
      <x:c r="K38" t="n">
        <x:v>146.2</x:v>
      </x:c>
      <x:c r="L38" t="n">
        <x:v>1.9</x:v>
      </x:c>
      <x:c r="M38" t="n">
        <x:v>1.7</x:v>
      </x:c>
      <x:c r="N38" t="n">
        <x:v>9.3</x:v>
      </x:c>
      <x:c r="O38" t="n">
        <x:v>9.1</x:v>
      </x:c>
      <x:c r="P38" t="n">
        <x:v>-0.2</x:v>
      </x:c>
      <x:c r="Q38" t="n">
        <x:v>11</x:v>
      </x:c>
      <x:c r="R38" t="n">
        <x:v>4.61</x:v>
      </x:c>
      <x:c r="S38" t="n">
        <x:v>0</x:v>
      </x:c>
      <x:c r="T38" s="19" t="n">
        <x:v>3100000</x:v>
      </x:c>
      <x:c r="U38" t="str">
        <x:v>OK</x:v>
      </x:c>
      <x:c r="V38" t="str">
        <x:v>GA-003</x:v>
      </x:c>
    </x:row>
    <x:row r="39">
      <x:c r="A39" s="15" t="n">
        <x:v>46211</x:v>
      </x:c>
      <x:c r="B39" t="str">
        <x:v>수</x:v>
      </x:c>
      <x:c r="C39" s="19" t="n">
        <x:v>9709000</x:v>
      </x:c>
      <x:c r="D39" t="n">
        <x:v>292</x:v>
      </x:c>
      <x:c r="E39" s="19" t="n">
        <x:v>33250</x:v>
      </x:c>
      <x:c r="F39" s="19" t="n">
        <x:v>2460000</x:v>
      </x:c>
      <x:c r="G39" s="23" t="n">
        <x:v>0.253373158924709</x:v>
      </x:c>
      <x:c r="H39" s="19" t="n">
        <x:v>3891000</x:v>
      </x:c>
      <x:c r="I39" s="23" t="n">
        <x:v>0.4007621794211556</x:v>
      </x:c>
      <x:c r="J39" t="n">
        <x:v>143.9</x:v>
      </x:c>
      <x:c r="K39" t="n">
        <x:v>133</x:v>
      </x:c>
      <x:c r="L39" t="n">
        <x:v>1.9</x:v>
      </x:c>
      <x:c r="M39" t="n">
        <x:v>0.8</x:v>
      </x:c>
      <x:c r="N39" t="n">
        <x:v>8.3</x:v>
      </x:c>
      <x:c r="O39" t="n">
        <x:v>8.4</x:v>
      </x:c>
      <x:c r="P39" t="n">
        <x:v>0.1</x:v>
      </x:c>
      <x:c r="Q39" t="n">
        <x:v>11</x:v>
      </x:c>
      <x:c r="R39" t="n">
        <x:v>4.31</x:v>
      </x:c>
      <x:c r="S39" t="n">
        <x:v>1</x:v>
      </x:c>
      <x:c r="T39" s="19" t="n">
        <x:v>3358000</x:v>
      </x:c>
      <x:c r="U39" t="str">
        <x:v>OK</x:v>
      </x:c>
      <x:c r="V39" t="str">
        <x:v>GA-003</x:v>
      </x:c>
    </x:row>
    <x:row r="40">
      <x:c r="A40" s="15" t="n">
        <x:v>46212</x:v>
      </x:c>
      <x:c r="B40" t="str">
        <x:v>목</x:v>
      </x:c>
      <x:c r="C40" s="19" t="n">
        <x:v>11417000</x:v>
      </x:c>
      <x:c r="D40" t="n">
        <x:v>371</x:v>
      </x:c>
      <x:c r="E40" s="19" t="n">
        <x:v>30774</x:v>
      </x:c>
      <x:c r="F40" s="19" t="n">
        <x:v>2915000</x:v>
      </x:c>
      <x:c r="G40" s="23" t="n">
        <x:v>0.25532101252518175</x:v>
      </x:c>
      <x:c r="H40" s="19" t="n">
        <x:v>4608000</x:v>
      </x:c>
      <x:c r="I40" s="23" t="n">
        <x:v>0.40360865376193394</x:v>
      </x:c>
      <x:c r="J40" t="n">
        <x:v>186.1</x:v>
      </x:c>
      <x:c r="K40" t="n">
        <x:v>179.4</x:v>
      </x:c>
      <x:c r="L40" t="n">
        <x:v>3.4</x:v>
      </x:c>
      <x:c r="M40" t="n">
        <x:v>2.1</x:v>
      </x:c>
      <x:c r="N40" t="n">
        <x:v>1.2</x:v>
      </x:c>
      <x:c r="O40" t="n">
        <x:v>0.4</x:v>
      </x:c>
      <x:c r="P40" t="n">
        <x:v>-0.8</x:v>
      </x:c>
      <x:c r="Q40" t="n">
        <x:v>15</x:v>
      </x:c>
      <x:c r="R40" t="n">
        <x:v>4.61</x:v>
      </x:c>
      <x:c r="S40" t="n">
        <x:v>1</x:v>
      </x:c>
      <x:c r="T40" s="19" t="n">
        <x:v>3894000</x:v>
      </x:c>
      <x:c r="U40" t="str">
        <x:v>OK</x:v>
      </x:c>
      <x:c r="V40" t="str">
        <x:v>GA-003</x:v>
      </x:c>
    </x:row>
    <x:row r="41">
      <x:c r="A41" s="15" t="n">
        <x:v>46213</x:v>
      </x:c>
      <x:c r="B41" t="str">
        <x:v>금</x:v>
      </x:c>
      <x:c r="C41" s="19" t="n">
        <x:v>12699000</x:v>
      </x:c>
      <x:c r="D41" t="n">
        <x:v>410</x:v>
      </x:c>
      <x:c r="E41" s="19" t="n">
        <x:v>30973</x:v>
      </x:c>
      <x:c r="F41" s="19" t="n">
        <x:v>3458000</x:v>
      </x:c>
      <x:c r="G41" s="23" t="n">
        <x:v>0.2723049058981022</x:v>
      </x:c>
      <x:c r="H41" s="19" t="n">
        <x:v>5184000</x:v>
      </x:c>
      <x:c r="I41" s="23" t="n">
        <x:v>0.40822111977321046</x:v>
      </x:c>
      <x:c r="J41" t="n">
        <x:v>190.3</x:v>
      </x:c>
      <x:c r="K41" t="n">
        <x:v>183.9</x:v>
      </x:c>
      <x:c r="L41" t="n">
        <x:v>2.3</x:v>
      </x:c>
      <x:c r="M41" t="n">
        <x:v>2.2</x:v>
      </x:c>
      <x:c r="N41" t="n">
        <x:v>1.9</x:v>
      </x:c>
      <x:c r="O41" t="n">
        <x:v>2.4</x:v>
      </x:c>
      <x:c r="P41" t="n">
        <x:v>0.5</x:v>
      </x:c>
      <x:c r="Q41" t="n">
        <x:v>11</x:v>
      </x:c>
      <x:c r="R41" t="n">
        <x:v>4.56</x:v>
      </x:c>
      <x:c r="S41" t="n">
        <x:v>1</x:v>
      </x:c>
      <x:c r="T41" s="19" t="n">
        <x:v>4057000</x:v>
      </x:c>
      <x:c r="U41" t="str">
        <x:v>OK</x:v>
      </x:c>
      <x:c r="V41" t="str">
        <x:v>GA-003</x:v>
      </x:c>
    </x:row>
    <x:row r="42">
      <x:c r="A42" s="15" t="n">
        <x:v>46214</x:v>
      </x:c>
      <x:c r="B42" t="str">
        <x:v>토</x:v>
      </x:c>
      <x:c r="C42" s="19" t="n">
        <x:v>15412000</x:v>
      </x:c>
      <x:c r="D42" t="n">
        <x:v>459</x:v>
      </x:c>
      <x:c r="E42" s="19" t="n">
        <x:v>33577</x:v>
      </x:c>
      <x:c r="F42" s="19" t="n">
        <x:v>4090000</x:v>
      </x:c>
      <x:c r="G42" s="23" t="n">
        <x:v>0.265377627822476</x:v>
      </x:c>
      <x:c r="H42" s="19" t="n">
        <x:v>6539000</x:v>
      </x:c>
      <x:c r="I42" s="23" t="n">
        <x:v>0.42427978198806127</x:v>
      </x:c>
      <x:c r="J42" t="n">
        <x:v>232.8</x:v>
      </x:c>
      <x:c r="K42" t="n">
        <x:v>214.1</x:v>
      </x:c>
      <x:c r="L42" t="n">
        <x:v>3.1</x:v>
      </x:c>
      <x:c r="M42" t="n">
        <x:v>2.5</x:v>
      </x:c>
      <x:c r="N42" t="n">
        <x:v>13.1</x:v>
      </x:c>
      <x:c r="O42" t="n">
        <x:v>13.5</x:v>
      </x:c>
      <x:c r="P42" t="n">
        <x:v>0.4</x:v>
      </x:c>
      <x:c r="Q42" t="n">
        <x:v>13</x:v>
      </x:c>
      <x:c r="R42" t="n">
        <x:v>4.48</x:v>
      </x:c>
      <x:c r="S42" t="n">
        <x:v>0</x:v>
      </x:c>
      <x:c r="T42" s="19" t="n">
        <x:v>4783000</x:v>
      </x:c>
      <x:c r="U42" t="str">
        <x:v>OK</x:v>
      </x:c>
      <x:c r="V42" t="str">
        <x:v>GA-003</x:v>
      </x:c>
    </x:row>
    <x:row r="43">
      <x:c r="A43" s="15" t="n">
        <x:v>46215</x:v>
      </x:c>
      <x:c r="B43" t="str">
        <x:v>일</x:v>
      </x:c>
      <x:c r="C43" s="19" t="n">
        <x:v>12955000</x:v>
      </x:c>
      <x:c r="D43" t="n">
        <x:v>410</x:v>
      </x:c>
      <x:c r="E43" s="19" t="n">
        <x:v>31598</x:v>
      </x:c>
      <x:c r="F43" s="19" t="n">
        <x:v>3643000</x:v>
      </x:c>
      <x:c r="G43" s="23" t="n">
        <x:v>0.2812041682747974</x:v>
      </x:c>
      <x:c r="H43" s="19" t="n">
        <x:v>5208000</x:v>
      </x:c>
      <x:c r="I43" s="23" t="n">
        <x:v>0.4020069471246623</x:v>
      </x:c>
      <x:c r="J43" t="n">
        <x:v>196.9</x:v>
      </x:c>
      <x:c r="K43" t="n">
        <x:v>185.5</x:v>
      </x:c>
      <x:c r="L43" t="n">
        <x:v>2.3</x:v>
      </x:c>
      <x:c r="M43" t="n">
        <x:v>1.7</x:v>
      </x:c>
      <x:c r="N43" t="n">
        <x:v>7.4</x:v>
      </x:c>
      <x:c r="O43" t="n">
        <x:v>6.5</x:v>
      </x:c>
      <x:c r="P43" t="n">
        <x:v>-0.9</x:v>
      </x:c>
      <x:c r="Q43" t="n">
        <x:v>11</x:v>
      </x:c>
      <x:c r="R43" t="n">
        <x:v>4.76</x:v>
      </x:c>
      <x:c r="S43" t="n">
        <x:v>1</x:v>
      </x:c>
      <x:c r="T43" s="19" t="n">
        <x:v>4104000</x:v>
      </x:c>
      <x:c r="U43" t="str">
        <x:v>OK</x:v>
      </x:c>
      <x:c r="V43" t="str">
        <x:v>GA-003</x:v>
      </x:c>
    </x:row>
    <x:row r="44">
      <x:c r="A44" s="15" t="n">
        <x:v>46216</x:v>
      </x:c>
      <x:c r="B44" t="str">
        <x:v>월</x:v>
      </x:c>
      <x:c r="C44" s="19" t="n">
        <x:v>9185000</x:v>
      </x:c>
      <x:c r="D44" t="n">
        <x:v>290</x:v>
      </x:c>
      <x:c r="E44" s="19" t="n">
        <x:v>31672</x:v>
      </x:c>
      <x:c r="F44" s="19" t="n">
        <x:v>2383000</x:v>
      </x:c>
      <x:c r="G44" s="23" t="n">
        <x:v>0.25944474686989655</x:v>
      </x:c>
      <x:c r="H44" s="19" t="n">
        <x:v>3793000</x:v>
      </x:c>
      <x:c r="I44" s="23" t="n">
        <x:v>0.41295590636908003</x:v>
      </x:c>
      <x:c r="J44" t="n">
        <x:v>141.1</x:v>
      </x:c>
      <x:c r="K44" t="n">
        <x:v>135.3</x:v>
      </x:c>
      <x:c r="L44" t="n">
        <x:v>1.7</x:v>
      </x:c>
      <x:c r="M44" t="n">
        <x:v>1</x:v>
      </x:c>
      <x:c r="N44" t="n">
        <x:v>3.1</x:v>
      </x:c>
      <x:c r="O44" t="n">
        <x:v>3.2</x:v>
      </x:c>
      <x:c r="P44" t="n">
        <x:v>0.1</x:v>
      </x:c>
      <x:c r="Q44" t="n">
        <x:v>8</x:v>
      </x:c>
      <x:c r="R44" t="n">
        <x:v>4.62</x:v>
      </x:c>
      <x:c r="S44" t="n">
        <x:v>0</x:v>
      </x:c>
      <x:c r="T44" s="19" t="n">
        <x:v>3009000</x:v>
      </x:c>
      <x:c r="U44" t="str">
        <x:v>OK</x:v>
      </x:c>
      <x:c r="V44" t="str">
        <x:v>GA-003</x:v>
      </x:c>
    </x:row>
    <x:row r="45">
      <x:c r="A45" s="15" t="n">
        <x:v>46217</x:v>
      </x:c>
      <x:c r="B45" t="str">
        <x:v>화</x:v>
      </x:c>
      <x:c r="C45" s="19" t="n">
        <x:v>9243000</x:v>
      </x:c>
      <x:c r="D45" t="n">
        <x:v>295</x:v>
      </x:c>
      <x:c r="E45" s="19" t="n">
        <x:v>31332</x:v>
      </x:c>
      <x:c r="F45" s="19" t="n">
        <x:v>2580000</x:v>
      </x:c>
      <x:c r="G45" s="23" t="n">
        <x:v>0.27913015254787404</x:v>
      </x:c>
      <x:c r="H45" s="19" t="n">
        <x:v>2929000</x:v>
      </x:c>
      <x:c r="I45" s="23" t="n">
        <x:v>0.31688845612896244</x:v>
      </x:c>
      <x:c r="J45" t="n">
        <x:v>154.7</x:v>
      </x:c>
      <x:c r="K45" t="n">
        <x:v>142.6</x:v>
      </x:c>
      <x:c r="L45" t="n">
        <x:v>2.3</x:v>
      </x:c>
      <x:c r="M45" t="n">
        <x:v>0.8</x:v>
      </x:c>
      <x:c r="N45" t="n">
        <x:v>9.1</x:v>
      </x:c>
      <x:c r="O45" t="n">
        <x:v>8.8</x:v>
      </x:c>
      <x:c r="P45" t="n">
        <x:v>-0.3</x:v>
      </x:c>
      <x:c r="Q45" t="n">
        <x:v>8</x:v>
      </x:c>
      <x:c r="R45" t="n">
        <x:v>4.5</x:v>
      </x:c>
      <x:c r="S45" t="n">
        <x:v>0</x:v>
      </x:c>
      <x:c r="T45" s="19" t="n">
        <x:v>3734000</x:v>
      </x:c>
      <x:c r="U45" t="str">
        <x:v>OK</x:v>
      </x:c>
      <x:c r="V45" t="str"/>
    </x:row>
    <x:row r="46">
      <x:c r="A46" s="15" t="n">
        <x:v>46218</x:v>
      </x:c>
      <x:c r="B46" t="str">
        <x:v>수</x:v>
      </x:c>
      <x:c r="C46" s="19" t="n">
        <x:v>10359000</x:v>
      </x:c>
      <x:c r="D46" t="n">
        <x:v>330</x:v>
      </x:c>
      <x:c r="E46" s="19" t="n">
        <x:v>31391</x:v>
      </x:c>
      <x:c r="F46" s="19" t="n">
        <x:v>2897000</x:v>
      </x:c>
      <x:c r="G46" s="23" t="n">
        <x:v>0.2796601988608939</x:v>
      </x:c>
      <x:c r="H46" s="19" t="n">
        <x:v>3298000</x:v>
      </x:c>
      <x:c r="I46" s="23" t="n">
        <x:v>0.3183704990829231</x:v>
      </x:c>
      <x:c r="J46" t="n">
        <x:v>170.3</x:v>
      </x:c>
      <x:c r="K46" t="n">
        <x:v>155.6</x:v>
      </x:c>
      <x:c r="L46" t="n">
        <x:v>2.3</x:v>
      </x:c>
      <x:c r="M46" t="n">
        <x:v>1.5</x:v>
      </x:c>
      <x:c r="N46" t="n">
        <x:v>10.9</x:v>
      </x:c>
      <x:c r="O46" t="n">
        <x:v>11.2</x:v>
      </x:c>
      <x:c r="P46" t="n">
        <x:v>0.2</x:v>
      </x:c>
      <x:c r="Q46" t="n">
        <x:v>9</x:v>
      </x:c>
      <x:c r="R46" t="n">
        <x:v>4.46</x:v>
      </x:c>
      <x:c r="S46" t="n">
        <x:v>0</x:v>
      </x:c>
      <x:c r="T46" s="19" t="n">
        <x:v>4164000</x:v>
      </x:c>
      <x:c r="U46" t="str">
        <x:v>OK</x:v>
      </x:c>
      <x:c r="V46" t="str"/>
    </x:row>
    <x:row r="47">
      <x:c r="A47" s="15" t="n">
        <x:v>46219</x:v>
      </x:c>
      <x:c r="B47" t="str">
        <x:v>목</x:v>
      </x:c>
      <x:c r="C47" s="19" t="n">
        <x:v>11372000</x:v>
      </x:c>
      <x:c r="D47" t="n">
        <x:v>359</x:v>
      </x:c>
      <x:c r="E47" s="19" t="n">
        <x:v>31677</x:v>
      </x:c>
      <x:c r="F47" s="19" t="n">
        <x:v>2990000</x:v>
      </x:c>
      <x:c r="G47" s="23" t="n">
        <x:v>0.2629264861062258</x:v>
      </x:c>
      <x:c r="H47" s="19" t="n">
        <x:v>3687000</x:v>
      </x:c>
      <x:c r="I47" s="23" t="n">
        <x:v>0.3242173760112557</x:v>
      </x:c>
      <x:c r="J47" t="n">
        <x:v>172.3</x:v>
      </x:c>
      <x:c r="K47" t="n">
        <x:v>165.3</x:v>
      </x:c>
      <x:c r="L47" t="n">
        <x:v>2.8</x:v>
      </x:c>
      <x:c r="M47" t="n">
        <x:v>1.9</x:v>
      </x:c>
      <x:c r="N47" t="n">
        <x:v>2.3</x:v>
      </x:c>
      <x:c r="O47" t="n">
        <x:v>2.5</x:v>
      </x:c>
      <x:c r="P47" t="n">
        <x:v>0.2</x:v>
      </x:c>
      <x:c r="Q47" t="n">
        <x:v>10</x:v>
      </x:c>
      <x:c r="R47" t="n">
        <x:v>4.54</x:v>
      </x:c>
      <x:c r="S47" t="n">
        <x:v>0</x:v>
      </x:c>
      <x:c r="T47" s="19" t="n">
        <x:v>4695000</x:v>
      </x:c>
      <x:c r="U47" t="str">
        <x:v>OK</x:v>
      </x:c>
      <x:c r="V47" t="str"/>
    </x:row>
    <x:row r="48">
      <x:c r="A48" s="15" t="n">
        <x:v>46220</x:v>
      </x:c>
      <x:c r="B48" t="str">
        <x:v>금</x:v>
      </x:c>
      <x:c r="C48" s="19" t="n">
        <x:v>12560000</x:v>
      </x:c>
      <x:c r="D48" t="n">
        <x:v>381</x:v>
      </x:c>
      <x:c r="E48" s="19" t="n">
        <x:v>32966</x:v>
      </x:c>
      <x:c r="F48" s="19" t="n">
        <x:v>3441000</x:v>
      </x:c>
      <x:c r="G48" s="23" t="n">
        <x:v>0.27396496815286625</x:v>
      </x:c>
      <x:c r="H48" s="19" t="n">
        <x:v>4074000</x:v>
      </x:c>
      <x:c r="I48" s="23" t="n">
        <x:v>0.3243630573248408</x:v>
      </x:c>
      <x:c r="J48" t="n">
        <x:v>207.7</x:v>
      </x:c>
      <x:c r="K48" t="n">
        <x:v>189.8</x:v>
      </x:c>
      <x:c r="L48" t="n">
        <x:v>2.5</x:v>
      </x:c>
      <x:c r="M48" t="n">
        <x:v>1.8</x:v>
      </x:c>
      <x:c r="N48" t="n">
        <x:v>13.7</x:v>
      </x:c>
      <x:c r="O48" t="n">
        <x:v>14.5</x:v>
      </x:c>
      <x:c r="P48" t="n">
        <x:v>0.9</x:v>
      </x:c>
      <x:c r="Q48" t="n">
        <x:v>11</x:v>
      </x:c>
      <x:c r="R48" t="n">
        <x:v>4.76</x:v>
      </x:c>
      <x:c r="S48" t="n">
        <x:v>1</x:v>
      </x:c>
      <x:c r="T48" s="19" t="n">
        <x:v>5045000</x:v>
      </x:c>
      <x:c r="U48" t="str">
        <x:v>OK</x:v>
      </x:c>
      <x:c r="V48" t="str"/>
    </x:row>
    <x:row r="49">
      <x:c r="A49" s="15" t="n">
        <x:v>46221</x:v>
      </x:c>
      <x:c r="B49" t="str">
        <x:v>토</x:v>
      </x:c>
      <x:c r="C49" s="19" t="n">
        <x:v>15760000</x:v>
      </x:c>
      <x:c r="D49" t="n">
        <x:v>502</x:v>
      </x:c>
      <x:c r="E49" s="19" t="n">
        <x:v>31394</x:v>
      </x:c>
      <x:c r="F49" s="19" t="n">
        <x:v>4085000</x:v>
      </x:c>
      <x:c r="G49" s="23" t="n">
        <x:v>0.2592005076142132</x:v>
      </x:c>
      <x:c r="H49" s="19" t="n">
        <x:v>5253000</x:v>
      </x:c>
      <x:c r="I49" s="23" t="n">
        <x:v>0.33331218274111674</x:v>
      </x:c>
      <x:c r="J49" t="n">
        <x:v>237.6</x:v>
      </x:c>
      <x:c r="K49" t="n">
        <x:v>221.1</x:v>
      </x:c>
      <x:c r="L49" t="n">
        <x:v>2.8</x:v>
      </x:c>
      <x:c r="M49" t="n">
        <x:v>12.2</x:v>
      </x:c>
      <x:c r="N49" t="n">
        <x:v>1.5</x:v>
      </x:c>
      <x:c r="O49" t="n">
        <x:v>1.3</x:v>
      </x:c>
      <x:c r="P49" t="n">
        <x:v>-0.2</x:v>
      </x:c>
      <x:c r="Q49" t="n">
        <x:v>15</x:v>
      </x:c>
      <x:c r="R49" t="n">
        <x:v>4.61</x:v>
      </x:c>
      <x:c r="S49" t="n">
        <x:v>0</x:v>
      </x:c>
      <x:c r="T49" s="19" t="n">
        <x:v>6422000</x:v>
      </x:c>
      <x:c r="U49" t="str">
        <x:v>OK</x:v>
      </x:c>
      <x:c r="V49" t="str">
        <x:v>GA-004</x:v>
      </x:c>
    </x:row>
    <x:row r="50">
      <x:c r="A50" s="15" t="n">
        <x:v>46222</x:v>
      </x:c>
      <x:c r="B50" t="str">
        <x:v>일</x:v>
      </x:c>
      <x:c r="C50" s="19" t="n">
        <x:v>12325000</x:v>
      </x:c>
      <x:c r="D50" t="n">
        <x:v>377</x:v>
      </x:c>
      <x:c r="E50" s="19" t="n">
        <x:v>32692</x:v>
      </x:c>
      <x:c r="F50" s="19" t="n">
        <x:v>3441000</x:v>
      </x:c>
      <x:c r="G50" s="23" t="n">
        <x:v>0.27918864097363083</x:v>
      </x:c>
      <x:c r="H50" s="19" t="n">
        <x:v>4122000</x:v>
      </x:c>
      <x:c r="I50" s="23" t="n">
        <x:v>0.3344421906693712</x:v>
      </x:c>
      <x:c r="J50" t="n">
        <x:v>209</x:v>
      </x:c>
      <x:c r="K50" t="n">
        <x:v>197.6</x:v>
      </x:c>
      <x:c r="L50" t="n">
        <x:v>3</x:v>
      </x:c>
      <x:c r="M50" t="n">
        <x:v>1.6</x:v>
      </x:c>
      <x:c r="N50" t="n">
        <x:v>6.8</x:v>
      </x:c>
      <x:c r="O50" t="n">
        <x:v>5.8</x:v>
      </x:c>
      <x:c r="P50" t="n">
        <x:v>-1</x:v>
      </x:c>
      <x:c r="Q50" t="n">
        <x:v>12</x:v>
      </x:c>
      <x:c r="R50" t="n">
        <x:v>4.7</x:v>
      </x:c>
      <x:c r="S50" t="n">
        <x:v>1</x:v>
      </x:c>
      <x:c r="T50" s="19" t="n">
        <x:v>4762000</x:v>
      </x:c>
      <x:c r="U50" t="str">
        <x:v>OK</x:v>
      </x:c>
      <x:c r="V50" t="str"/>
    </x:row>
    <x:row r="51">
      <x:c r="A51" s="15" t="n">
        <x:v>46223</x:v>
      </x:c>
      <x:c r="B51" t="str">
        <x:v>월</x:v>
      </x:c>
      <x:c r="C51" s="19" t="n">
        <x:v>8672000</x:v>
      </x:c>
      <x:c r="D51" t="n">
        <x:v>277</x:v>
      </x:c>
      <x:c r="E51" s="19" t="n">
        <x:v>31307</x:v>
      </x:c>
      <x:c r="F51" s="19" t="n">
        <x:v>2421000</x:v>
      </x:c>
      <x:c r="G51" s="23" t="n">
        <x:v>0.2791743542435424</x:v>
      </x:c>
      <x:c r="H51" s="19" t="n">
        <x:v>2709000</x:v>
      </x:c>
      <x:c r="I51" s="23" t="n">
        <x:v>0.31238468634686345</x:v>
      </x:c>
      <x:c r="J51" t="n">
        <x:v>134.1</x:v>
      </x:c>
      <x:c r="K51" t="n">
        <x:v>129.4</x:v>
      </x:c>
      <x:c r="L51" t="n">
        <x:v>2</x:v>
      </x:c>
      <x:c r="M51" t="n">
        <x:v>1.5</x:v>
      </x:c>
      <x:c r="N51" t="n">
        <x:v>1.2</x:v>
      </x:c>
      <x:c r="O51" t="n">
        <x:v>1.3</x:v>
      </x:c>
      <x:c r="P51" t="n">
        <x:v>0.2</x:v>
      </x:c>
      <x:c r="Q51" t="n">
        <x:v>8</x:v>
      </x:c>
      <x:c r="R51" t="n">
        <x:v>4.66</x:v>
      </x:c>
      <x:c r="S51" t="n">
        <x:v>0</x:v>
      </x:c>
      <x:c r="T51" s="19" t="n">
        <x:v>3542000</x:v>
      </x:c>
      <x:c r="U51" t="str">
        <x:v>OK</x:v>
      </x:c>
      <x:c r="V51" t="str"/>
    </x:row>
    <x:row r="52">
      <x:c r="A52" s="15" t="n">
        <x:v>46224</x:v>
      </x:c>
      <x:c r="B52" t="str">
        <x:v>화</x:v>
      </x:c>
      <x:c r="C52" s="19" t="n">
        <x:v>9808000</x:v>
      </x:c>
      <x:c r="D52" t="n">
        <x:v>319</x:v>
      </x:c>
      <x:c r="E52" s="19" t="n">
        <x:v>30746</x:v>
      </x:c>
      <x:c r="F52" s="19" t="n">
        <x:v>2579000</x:v>
      </x:c>
      <x:c r="G52" s="23" t="n">
        <x:v>0.2629486133768352</x:v>
      </x:c>
      <x:c r="H52" s="19" t="n">
        <x:v>3204000</x:v>
      </x:c>
      <x:c r="I52" s="23" t="n">
        <x:v>0.3266721044045677</x:v>
      </x:c>
      <x:c r="J52" t="n">
        <x:v>156.6</x:v>
      </x:c>
      <x:c r="K52" t="n">
        <x:v>149.5</x:v>
      </x:c>
      <x:c r="L52" t="n">
        <x:v>2</x:v>
      </x:c>
      <x:c r="M52" t="n">
        <x:v>1.5</x:v>
      </x:c>
      <x:c r="N52" t="n">
        <x:v>3.6</x:v>
      </x:c>
      <x:c r="O52" t="n">
        <x:v>4.1</x:v>
      </x:c>
      <x:c r="P52" t="n">
        <x:v>0.5</x:v>
      </x:c>
      <x:c r="Q52" t="n">
        <x:v>9</x:v>
      </x:c>
      <x:c r="R52" t="n">
        <x:v>4.6</x:v>
      </x:c>
      <x:c r="S52" t="n">
        <x:v>1</x:v>
      </x:c>
      <x:c r="T52" s="19" t="n">
        <x:v>4025000</x:v>
      </x:c>
      <x:c r="U52" t="str">
        <x:v>OK</x:v>
      </x:c>
      <x:c r="V52" t="str"/>
    </x:row>
    <x:row r="53">
      <x:c r="A53" s="15" t="n">
        <x:v>46225</x:v>
      </x:c>
      <x:c r="B53" t="str">
        <x:v>수</x:v>
      </x:c>
      <x:c r="C53" s="19" t="n">
        <x:v>10346000</x:v>
      </x:c>
      <x:c r="D53" t="n">
        <x:v>338</x:v>
      </x:c>
      <x:c r="E53" s="19" t="n">
        <x:v>30609</x:v>
      </x:c>
      <x:c r="F53" s="19" t="n">
        <x:v>2714000</x:v>
      </x:c>
      <x:c r="G53" s="23" t="n">
        <x:v>0.2623236033249565</x:v>
      </x:c>
      <x:c r="H53" s="19" t="n">
        <x:v>3450000</x:v>
      </x:c>
      <x:c r="I53" s="23" t="n">
        <x:v>0.3334622076164701</x:v>
      </x:c>
      <x:c r="J53" t="n">
        <x:v>167.3</x:v>
      </x:c>
      <x:c r="K53" t="n">
        <x:v>160.2</x:v>
      </x:c>
      <x:c r="L53" t="n">
        <x:v>2.7</x:v>
      </x:c>
      <x:c r="M53" t="n">
        <x:v>1.4</x:v>
      </x:c>
      <x:c r="N53" t="n">
        <x:v>3</x:v>
      </x:c>
      <x:c r="O53" t="n">
        <x:v>3.2</x:v>
      </x:c>
      <x:c r="P53" t="n">
        <x:v>0.3</x:v>
      </x:c>
      <x:c r="Q53" t="n">
        <x:v>9</x:v>
      </x:c>
      <x:c r="R53" t="n">
        <x:v>4.71</x:v>
      </x:c>
      <x:c r="S53" t="n">
        <x:v>1</x:v>
      </x:c>
      <x:c r="T53" s="19" t="n">
        <x:v>4182000</x:v>
      </x:c>
      <x:c r="U53" t="str">
        <x:v>OK</x:v>
      </x:c>
      <x:c r="V53" t="str"/>
    </x:row>
    <x:row r="54">
      <x:c r="A54" s="15" t="n">
        <x:v>46226</x:v>
      </x:c>
      <x:c r="B54" t="str">
        <x:v>목</x:v>
      </x:c>
      <x:c r="C54" s="19" t="n">
        <x:v>10451000</x:v>
      </x:c>
      <x:c r="D54" t="n">
        <x:v>317</x:v>
      </x:c>
      <x:c r="E54" s="19" t="n">
        <x:v>32968</x:v>
      </x:c>
      <x:c r="F54" s="19" t="n">
        <x:v>2912000</x:v>
      </x:c>
      <x:c r="G54" s="23" t="n">
        <x:v>0.27863362357669125</x:v>
      </x:c>
      <x:c r="H54" s="19" t="n">
        <x:v>3301000</x:v>
      </x:c>
      <x:c r="I54" s="23" t="n">
        <x:v>0.3158549421108028</x:v>
      </x:c>
      <x:c r="J54" t="n">
        <x:v>179.6</x:v>
      </x:c>
      <x:c r="K54" t="n">
        <x:v>166.1</x:v>
      </x:c>
      <x:c r="L54" t="n">
        <x:v>2.3</x:v>
      </x:c>
      <x:c r="M54" t="n">
        <x:v>1.7</x:v>
      </x:c>
      <x:c r="N54" t="n">
        <x:v>9.6</x:v>
      </x:c>
      <x:c r="O54" t="n">
        <x:v>10.5</x:v>
      </x:c>
      <x:c r="P54" t="n">
        <x:v>0.9</x:v>
      </x:c>
      <x:c r="Q54" t="n">
        <x:v>8</x:v>
      </x:c>
      <x:c r="R54" t="n">
        <x:v>4.49</x:v>
      </x:c>
      <x:c r="S54" t="n">
        <x:v>1</x:v>
      </x:c>
      <x:c r="T54" s="19" t="n">
        <x:v>4238000</x:v>
      </x:c>
      <x:c r="U54" t="str">
        <x:v>OK</x:v>
      </x:c>
      <x:c r="V54" t="str"/>
    </x:row>
    <x:row r="55">
      <x:c r="A55" s="15" t="n">
        <x:v>46227</x:v>
      </x:c>
      <x:c r="B55" t="str">
        <x:v>금</x:v>
      </x:c>
      <x:c r="C55" s="19" t="n">
        <x:v>13428000</x:v>
      </x:c>
      <x:c r="D55" t="n">
        <x:v>417</x:v>
      </x:c>
      <x:c r="E55" s="19" t="n">
        <x:v>32201</x:v>
      </x:c>
      <x:c r="F55" s="19" t="n">
        <x:v>3400000</x:v>
      </x:c>
      <x:c r="G55" s="23" t="n">
        <x:v>0.2532022639261245</x:v>
      </x:c>
      <x:c r="H55" s="19" t="n">
        <x:v>4376000</x:v>
      </x:c>
      <x:c r="I55" s="23" t="n">
        <x:v>0.32588620792374146</x:v>
      </x:c>
      <x:c r="J55" t="n">
        <x:v>212.3</x:v>
      </x:c>
      <x:c r="K55" t="n">
        <x:v>204.3</x:v>
      </x:c>
      <x:c r="L55" t="n">
        <x:v>2.6</x:v>
      </x:c>
      <x:c r="M55" t="n">
        <x:v>1</x:v>
      </x:c>
      <x:c r="N55" t="n">
        <x:v>4.4</x:v>
      </x:c>
      <x:c r="O55" t="n">
        <x:v>3.8</x:v>
      </x:c>
      <x:c r="P55" t="n">
        <x:v>-0.6</x:v>
      </x:c>
      <x:c r="Q55" t="n">
        <x:v>11</x:v>
      </x:c>
      <x:c r="R55" t="n">
        <x:v>4.63</x:v>
      </x:c>
      <x:c r="S55" t="n">
        <x:v>0</x:v>
      </x:c>
      <x:c r="T55" s="19" t="n">
        <x:v>5652000</x:v>
      </x:c>
      <x:c r="U55" t="str">
        <x:v>OK</x:v>
      </x:c>
      <x:c r="V55" t="str"/>
    </x:row>
    <x:row r="56">
      <x:c r="A56" s="15" t="n">
        <x:v>46228</x:v>
      </x:c>
      <x:c r="B56" t="str">
        <x:v>토</x:v>
      </x:c>
      <x:c r="C56" s="19" t="n">
        <x:v>14521000</x:v>
      </x:c>
      <x:c r="D56" t="n">
        <x:v>440</x:v>
      </x:c>
      <x:c r="E56" s="19" t="n">
        <x:v>33002</x:v>
      </x:c>
      <x:c r="F56" s="19" t="n">
        <x:v>3804000</x:v>
      </x:c>
      <x:c r="G56" s="23" t="n">
        <x:v>0.261965429378142</x:v>
      </x:c>
      <x:c r="H56" s="19" t="n">
        <x:v>4553000</x:v>
      </x:c>
      <x:c r="I56" s="23" t="n">
        <x:v>0.31354589904276564</x:v>
      </x:c>
      <x:c r="J56" t="n">
        <x:v>226.4</x:v>
      </x:c>
      <x:c r="K56" t="n">
        <x:v>207.9</x:v>
      </x:c>
      <x:c r="L56" t="n">
        <x:v>3.3</x:v>
      </x:c>
      <x:c r="M56" t="n">
        <x:v>1.9</x:v>
      </x:c>
      <x:c r="N56" t="n">
        <x:v>13.4</x:v>
      </x:c>
      <x:c r="O56" t="n">
        <x:v>12.6</x:v>
      </x:c>
      <x:c r="P56" t="n">
        <x:v>-0.8</x:v>
      </x:c>
      <x:c r="Q56" t="n">
        <x:v>15</x:v>
      </x:c>
      <x:c r="R56" t="n">
        <x:v>4.6</x:v>
      </x:c>
      <x:c r="S56" t="n">
        <x:v>1</x:v>
      </x:c>
      <x:c r="T56" s="19" t="n">
        <x:v>6164000</x:v>
      </x:c>
      <x:c r="U56" t="str">
        <x:v>OK</x:v>
      </x:c>
      <x:c r="V56" t="str"/>
    </x:row>
    <x:row r="57">
      <x:c r="A57" s="15" t="n">
        <x:v>46229</x:v>
      </x:c>
      <x:c r="B57" t="str">
        <x:v>일</x:v>
      </x:c>
      <x:c r="C57" s="19" t="n">
        <x:v>11852000</x:v>
      </x:c>
      <x:c r="D57" t="n">
        <x:v>356</x:v>
      </x:c>
      <x:c r="E57" s="19" t="n">
        <x:v>33292</x:v>
      </x:c>
      <x:c r="F57" s="19" t="n">
        <x:v>3085000</x:v>
      </x:c>
      <x:c r="G57" s="23" t="n">
        <x:v>0.2602936213297334</x:v>
      </x:c>
      <x:c r="H57" s="19" t="n">
        <x:v>3763000</x:v>
      </x:c>
      <x:c r="I57" s="23" t="n">
        <x:v>0.31749915626054676</x:v>
      </x:c>
      <x:c r="J57" t="n">
        <x:v>178.5</x:v>
      </x:c>
      <x:c r="K57" t="n">
        <x:v>168.5</x:v>
      </x:c>
      <x:c r="L57" t="n">
        <x:v>2</x:v>
      </x:c>
      <x:c r="M57" t="n">
        <x:v>1.7</x:v>
      </x:c>
      <x:c r="N57" t="n">
        <x:v>6.3</x:v>
      </x:c>
      <x:c r="O57" t="n">
        <x:v>6.2</x:v>
      </x:c>
      <x:c r="P57" t="n">
        <x:v>-0.1</x:v>
      </x:c>
      <x:c r="Q57" t="n">
        <x:v>14</x:v>
      </x:c>
      <x:c r="R57" t="n">
        <x:v>4.67</x:v>
      </x:c>
      <x:c r="S57" t="n">
        <x:v>1</x:v>
      </x:c>
      <x:c r="T57" s="19" t="n">
        <x:v>5004000</x:v>
      </x:c>
      <x:c r="U57" t="str">
        <x:v>OK</x:v>
      </x:c>
      <x:c r="V57" t="str"/>
    </x:row>
    <x:row r="58">
      <x:c r="A58" s="15" t="n">
        <x:v>46230</x:v>
      </x:c>
      <x:c r="B58" t="str">
        <x:v>월</x:v>
      </x:c>
      <x:c r="C58" s="19" t="n">
        <x:v>9829000</x:v>
      </x:c>
      <x:c r="D58" t="n">
        <x:v>295</x:v>
      </x:c>
      <x:c r="E58" s="19" t="n">
        <x:v>33319</x:v>
      </x:c>
      <x:c r="F58" s="19" t="n">
        <x:v>2711000</x:v>
      </x:c>
      <x:c r="G58" s="23" t="n">
        <x:v>0.27581646149150474</x:v>
      </x:c>
      <x:c r="H58" s="19" t="n">
        <x:v>3200000</x:v>
      </x:c>
      <x:c r="I58" s="23" t="n">
        <x:v>0.3255671991046902</x:v>
      </x:c>
      <x:c r="J58" t="n">
        <x:v>154.9</x:v>
      </x:c>
      <x:c r="K58" t="n">
        <x:v>150.3</x:v>
      </x:c>
      <x:c r="L58" t="n">
        <x:v>2</x:v>
      </x:c>
      <x:c r="M58" t="n">
        <x:v>1.1</x:v>
      </x:c>
      <x:c r="N58" t="n">
        <x:v>1.5</x:v>
      </x:c>
      <x:c r="O58" t="n">
        <x:v>1.1</x:v>
      </x:c>
      <x:c r="P58" t="n">
        <x:v>-0.5</x:v>
      </x:c>
      <x:c r="Q58" t="n">
        <x:v>8</x:v>
      </x:c>
      <x:c r="R58" t="n">
        <x:v>4.53</x:v>
      </x:c>
      <x:c r="S58" t="n">
        <x:v>0</x:v>
      </x:c>
      <x:c r="T58" s="19" t="n">
        <x:v>3918000</x:v>
      </x:c>
      <x:c r="U58" t="str">
        <x:v>OK</x:v>
      </x:c>
      <x:c r="V58" t="str"/>
    </x:row>
    <x:row r="59">
      <x:c r="A59" s="15" t="n">
        <x:v>46231</x:v>
      </x:c>
      <x:c r="B59" t="str">
        <x:v>화</x:v>
      </x:c>
      <x:c r="C59" s="19" t="n">
        <x:v>9771000</x:v>
      </x:c>
      <x:c r="D59" t="n">
        <x:v>302</x:v>
      </x:c>
      <x:c r="E59" s="19" t="n">
        <x:v>32354</x:v>
      </x:c>
      <x:c r="F59" s="19" t="n">
        <x:v>2697000</x:v>
      </x:c>
      <x:c r="G59" s="23" t="n">
        <x:v>0.27602087810868897</x:v>
      </x:c>
      <x:c r="H59" s="19" t="n">
        <x:v>3072000</x:v>
      </x:c>
      <x:c r="I59" s="23" t="n">
        <x:v>0.3143997543751919</x:v>
      </x:c>
      <x:c r="J59" t="n">
        <x:v>150.5</x:v>
      </x:c>
      <x:c r="K59" t="n">
        <x:v>142.8</x:v>
      </x:c>
      <x:c r="L59" t="n">
        <x:v>2.3</x:v>
      </x:c>
      <x:c r="M59" t="n">
        <x:v>1.1</x:v>
      </x:c>
      <x:c r="N59" t="n">
        <x:v>4.2</x:v>
      </x:c>
      <x:c r="O59" t="n">
        <x:v>3.7</x:v>
      </x:c>
      <x:c r="P59" t="n">
        <x:v>-0.5</x:v>
      </x:c>
      <x:c r="Q59" t="n">
        <x:v>11</x:v>
      </x:c>
      <x:c r="R59" t="n">
        <x:v>4.42</x:v>
      </x:c>
      <x:c r="S59" t="n">
        <x:v>1</x:v>
      </x:c>
      <x:c r="T59" s="19" t="n">
        <x:v>4002000</x:v>
      </x:c>
      <x:c r="U59" t="str">
        <x:v>OK</x:v>
      </x:c>
      <x:c r="V59" t="str"/>
    </x:row>
    <x:row r="60">
      <x:c r="A60" s="15" t="n">
        <x:v>46232</x:v>
      </x:c>
      <x:c r="B60" t="str">
        <x:v>수</x:v>
      </x:c>
      <x:c r="C60" s="19" t="n">
        <x:v>10390000</x:v>
      </x:c>
      <x:c r="D60" t="n">
        <x:v>335</x:v>
      </x:c>
      <x:c r="E60" s="19" t="n">
        <x:v>31015</x:v>
      </x:c>
      <x:c r="F60" s="19" t="n">
        <x:v>2800000</x:v>
      </x:c>
      <x:c r="G60" s="23" t="n">
        <x:v>0.2694898941289702</x:v>
      </x:c>
      <x:c r="H60" s="19" t="n">
        <x:v>3489000</x:v>
      </x:c>
      <x:c r="I60" s="23" t="n">
        <x:v>0.3358036573628489</x:v>
      </x:c>
      <x:c r="J60" t="n">
        <x:v>158.4</x:v>
      </x:c>
      <x:c r="K60" t="n">
        <x:v>149.6</x:v>
      </x:c>
      <x:c r="L60" t="n">
        <x:v>2.1</x:v>
      </x:c>
      <x:c r="M60" t="n">
        <x:v>1.3</x:v>
      </x:c>
      <x:c r="N60" t="n">
        <x:v>5.3</x:v>
      </x:c>
      <x:c r="O60" t="n">
        <x:v>5.8</x:v>
      </x:c>
      <x:c r="P60" t="n">
        <x:v>0.5</x:v>
      </x:c>
      <x:c r="Q60" t="n">
        <x:v>13</x:v>
      </x:c>
      <x:c r="R60" t="n">
        <x:v>4.52</x:v>
      </x:c>
      <x:c r="S60" t="n">
        <x:v>1</x:v>
      </x:c>
      <x:c r="T60" s="19" t="n">
        <x:v>4101000</x:v>
      </x:c>
      <x:c r="U60" t="str">
        <x:v>OK</x:v>
      </x:c>
      <x:c r="V60" t="str"/>
    </x:row>
    <x:row r="61">
      <x:c r="A61" s="15" t="n">
        <x:v>46233</x:v>
      </x:c>
      <x:c r="B61" t="str">
        <x:v>목</x:v>
      </x:c>
      <x:c r="C61" s="19" t="n">
        <x:v>10782000</x:v>
      </x:c>
      <x:c r="D61" t="n">
        <x:v>336</x:v>
      </x:c>
      <x:c r="E61" s="19" t="n">
        <x:v>32089</x:v>
      </x:c>
      <x:c r="F61" s="19" t="n">
        <x:v>3037000</x:v>
      </x:c>
      <x:c r="G61" s="23" t="n">
        <x:v>0.28167315896865147</x:v>
      </x:c>
      <x:c r="H61" s="19" t="n">
        <x:v>3524000</x:v>
      </x:c>
      <x:c r="I61" s="23" t="n">
        <x:v>0.32684103134854386</x:v>
      </x:c>
      <x:c r="J61" t="n">
        <x:v>180.6</x:v>
      </x:c>
      <x:c r="K61" t="n">
        <x:v>166.8</x:v>
      </x:c>
      <x:c r="L61" t="n">
        <x:v>2</x:v>
      </x:c>
      <x:c r="M61" t="n">
        <x:v>1.4</x:v>
      </x:c>
      <x:c r="N61" t="n">
        <x:v>10.4</x:v>
      </x:c>
      <x:c r="O61" t="n">
        <x:v>10.6</x:v>
      </x:c>
      <x:c r="P61" t="n">
        <x:v>0.2</x:v>
      </x:c>
      <x:c r="Q61" t="n">
        <x:v>13</x:v>
      </x:c>
      <x:c r="R61" t="n">
        <x:v>4.53</x:v>
      </x:c>
      <x:c r="S61" t="n">
        <x:v>0</x:v>
      </x:c>
      <x:c r="T61" s="19" t="n">
        <x:v>4221000</x:v>
      </x:c>
      <x:c r="U61" t="str">
        <x:v>OK</x:v>
      </x:c>
      <x:c r="V61" t="str"/>
    </x:row>
    <x:row r="62">
      <x:c r="A62" s="15" t="n">
        <x:v>46234</x:v>
      </x:c>
      <x:c r="B62" t="str">
        <x:v>금</x:v>
      </x:c>
      <x:c r="C62" s="19" t="n">
        <x:v>12806000</x:v>
      </x:c>
      <x:c r="D62" t="n">
        <x:v>407</x:v>
      </x:c>
      <x:c r="E62" s="19" t="n">
        <x:v>31464</x:v>
      </x:c>
      <x:c r="F62" s="19" t="n">
        <x:v>3365000</x:v>
      </x:c>
      <x:c r="G62" s="23" t="n">
        <x:v>0.26276745275652036</x:v>
      </x:c>
      <x:c r="H62" s="19" t="n">
        <x:v>4290000</x:v>
      </x:c>
      <x:c r="I62" s="23" t="n">
        <x:v>0.33499921911603936</x:v>
      </x:c>
      <x:c r="J62" t="n">
        <x:v>200.8</x:v>
      </x:c>
      <x:c r="K62" t="n">
        <x:v>187.4</x:v>
      </x:c>
      <x:c r="L62" t="n">
        <x:v>3.1</x:v>
      </x:c>
      <x:c r="M62" t="n">
        <x:v>2.2</x:v>
      </x:c>
      <x:c r="N62" t="n">
        <x:v>8.1</x:v>
      </x:c>
      <x:c r="O62" t="n">
        <x:v>8.1</x:v>
      </x:c>
      <x:c r="P62" t="n">
        <x:v>0</x:v>
      </x:c>
      <x:c r="Q62" t="n">
        <x:v>11</x:v>
      </x:c>
      <x:c r="R62" t="n">
        <x:v>4.53</x:v>
      </x:c>
      <x:c r="S62" t="n">
        <x:v>1</x:v>
      </x:c>
      <x:c r="T62" s="19" t="n">
        <x:v>5151000</x:v>
      </x:c>
      <x:c r="U62" t="str">
        <x:v>OK</x:v>
      </x:c>
      <x:c r="V62" t="str"/>
    </x:row>
    <x:row r="63">
      <x:c r="A63" s="15" t="n">
        <x:v>46235</x:v>
      </x:c>
      <x:c r="B63" t="str">
        <x:v>토</x:v>
      </x:c>
      <x:c r="C63" s="19" t="n">
        <x:v>15991000</x:v>
      </x:c>
      <x:c r="D63" t="n">
        <x:v>458</x:v>
      </x:c>
      <x:c r="E63" s="19" t="n">
        <x:v>31740</x:v>
      </x:c>
      <x:c r="F63" s="19" t="n">
        <x:v>5097000</x:v>
      </x:c>
      <x:c r="G63" s="23" t="n">
        <x:v>0.3187417922581452</x:v>
      </x:c>
      <x:c r="H63" s="19" t="n">
        <x:v>5898000</x:v>
      </x:c>
      <x:c r="I63" s="23" t="n">
        <x:v>0.36883246826339816</x:v>
      </x:c>
      <x:c r="J63" t="n">
        <x:v>244.2</x:v>
      </x:c>
      <x:c r="K63" t="n">
        <x:v>225.1</x:v>
      </x:c>
      <x:c r="L63" t="n">
        <x:v>4</x:v>
      </x:c>
      <x:c r="M63" t="n">
        <x:v>1.5</x:v>
      </x:c>
      <x:c r="N63" t="n">
        <x:v>13.7</x:v>
      </x:c>
      <x:c r="O63" t="n">
        <x:v>14.3</x:v>
      </x:c>
      <x:c r="P63" t="n">
        <x:v>0.6</x:v>
      </x:c>
      <x:c r="Q63" t="n">
        <x:v>14</x:v>
      </x:c>
      <x:c r="R63" t="n">
        <x:v>4.39</x:v>
      </x:c>
      <x:c r="S63" t="n">
        <x:v>1</x:v>
      </x:c>
      <x:c r="T63" s="19" t="n">
        <x:v>4996000</x:v>
      </x:c>
      <x:c r="U63" t="str">
        <x:v>OK</x:v>
      </x:c>
      <x:c r="V63" t="str">
        <x:v>GA-005</x:v>
      </x:c>
    </x:row>
    <x:row r="64">
      <x:c r="A64" s="15" t="n">
        <x:v>46236</x:v>
      </x:c>
      <x:c r="B64" t="str">
        <x:v>일</x:v>
      </x:c>
      <x:c r="C64" s="19" t="n">
        <x:v>13816000</x:v>
      </x:c>
      <x:c r="D64" t="n">
        <x:v>397</x:v>
      </x:c>
      <x:c r="E64" s="19" t="n">
        <x:v>31637</x:v>
      </x:c>
      <x:c r="F64" s="19" t="n">
        <x:v>4469000</x:v>
      </x:c>
      <x:c r="G64" s="23" t="n">
        <x:v>0.3234655471916618</x:v>
      </x:c>
      <x:c r="H64" s="19" t="n">
        <x:v>5219000</x:v>
      </x:c>
      <x:c r="I64" s="23" t="n">
        <x:v>0.3777504342790967</x:v>
      </x:c>
      <x:c r="J64" t="n">
        <x:v>205.2</x:v>
      </x:c>
      <x:c r="K64" t="n">
        <x:v>196</x:v>
      </x:c>
      <x:c r="L64" t="n">
        <x:v>3.4</x:v>
      </x:c>
      <x:c r="M64" t="n">
        <x:v>1.3</x:v>
      </x:c>
      <x:c r="N64" t="n">
        <x:v>4.5</x:v>
      </x:c>
      <x:c r="O64" t="n">
        <x:v>3.5</x:v>
      </x:c>
      <x:c r="P64" t="n">
        <x:v>-0.9</x:v>
      </x:c>
      <x:c r="Q64" t="n">
        <x:v>13</x:v>
      </x:c>
      <x:c r="R64" t="n">
        <x:v>4.51</x:v>
      </x:c>
      <x:c r="S64" t="n">
        <x:v>1</x:v>
      </x:c>
      <x:c r="T64" s="19" t="n">
        <x:v>4128000</x:v>
      </x:c>
      <x:c r="U64" t="str">
        <x:v>OK</x:v>
      </x:c>
      <x:c r="V64" t="str">
        <x:v>GA-005</x:v>
      </x:c>
    </x:row>
    <x:row r="65">
      <x:c r="A65" s="15" t="n">
        <x:v>46237</x:v>
      </x:c>
      <x:c r="B65" t="str">
        <x:v>월</x:v>
      </x:c>
      <x:c r="C65" s="19" t="n">
        <x:v>10626000</x:v>
      </x:c>
      <x:c r="D65" t="n">
        <x:v>303</x:v>
      </x:c>
      <x:c r="E65" s="19" t="n">
        <x:v>31881</x:v>
      </x:c>
      <x:c r="F65" s="19" t="n">
        <x:v>3539000</x:v>
      </x:c>
      <x:c r="G65" s="23" t="n">
        <x:v>0.33305100696405043</x:v>
      </x:c>
      <x:c r="H65" s="19" t="n">
        <x:v>3990000</x:v>
      </x:c>
      <x:c r="I65" s="23" t="n">
        <x:v>0.37549407114624506</x:v>
      </x:c>
      <x:c r="J65" t="n">
        <x:v>158.3</x:v>
      </x:c>
      <x:c r="K65" t="n">
        <x:v>145.6</x:v>
      </x:c>
      <x:c r="L65" t="n">
        <x:v>2.9</x:v>
      </x:c>
      <x:c r="M65" t="n">
        <x:v>1</x:v>
      </x:c>
      <x:c r="N65" t="n">
        <x:v>8.8</x:v>
      </x:c>
      <x:c r="O65" t="n">
        <x:v>9.5</x:v>
      </x:c>
      <x:c r="P65" t="n">
        <x:v>0.7</x:v>
      </x:c>
      <x:c r="Q65" t="n">
        <x:v>8</x:v>
      </x:c>
      <x:c r="R65" t="n">
        <x:v>4.56</x:v>
      </x:c>
      <x:c r="S65" t="n">
        <x:v>0</x:v>
      </x:c>
      <x:c r="T65" s="19" t="n">
        <x:v>3097000</x:v>
      </x:c>
      <x:c r="U65" t="str">
        <x:v>OK</x:v>
      </x:c>
      <x:c r="V65" t="str">
        <x:v>GA-005</x:v>
      </x:c>
    </x:row>
    <x:row r="66">
      <x:c r="A66" s="15" t="n">
        <x:v>46238</x:v>
      </x:c>
      <x:c r="B66" t="str">
        <x:v>화</x:v>
      </x:c>
      <x:c r="C66" s="19" t="n">
        <x:v>10816000</x:v>
      </x:c>
      <x:c r="D66" t="n">
        <x:v>319</x:v>
      </x:c>
      <x:c r="E66" s="19" t="n">
        <x:v>30824</x:v>
      </x:c>
      <x:c r="F66" s="19" t="n">
        <x:v>3574000</x:v>
      </x:c>
      <x:c r="G66" s="23" t="n">
        <x:v>0.33043639053254437</x:v>
      </x:c>
      <x:c r="H66" s="19" t="n">
        <x:v>3958000</x:v>
      </x:c>
      <x:c r="I66" s="23" t="n">
        <x:v>0.36593934911242604</x:v>
      </x:c>
      <x:c r="J66" t="n">
        <x:v>160</x:v>
      </x:c>
      <x:c r="K66" t="n">
        <x:v>147.7</x:v>
      </x:c>
      <x:c r="L66" t="n">
        <x:v>2.9</x:v>
      </x:c>
      <x:c r="M66" t="n">
        <x:v>0.9</x:v>
      </x:c>
      <x:c r="N66" t="n">
        <x:v>8.4</x:v>
      </x:c>
      <x:c r="O66" t="n">
        <x:v>7.5</x:v>
      </x:c>
      <x:c r="P66" t="n">
        <x:v>-0.9</x:v>
      </x:c>
      <x:c r="Q66" t="n">
        <x:v>13</x:v>
      </x:c>
      <x:c r="R66" t="n">
        <x:v>4.42</x:v>
      </x:c>
      <x:c r="S66" t="n">
        <x:v>0</x:v>
      </x:c>
      <x:c r="T66" s="19" t="n">
        <x:v>3284000</x:v>
      </x:c>
      <x:c r="U66" t="str">
        <x:v>OK</x:v>
      </x:c>
      <x:c r="V66" t="str">
        <x:v>GA-005</x:v>
      </x:c>
    </x:row>
    <x:row r="67">
      <x:c r="A67" s="15" t="n">
        <x:v>46239</x:v>
      </x:c>
      <x:c r="B67" t="str">
        <x:v>수</x:v>
      </x:c>
      <x:c r="C67" s="19" t="n">
        <x:v>12289000</x:v>
      </x:c>
      <x:c r="D67" t="n">
        <x:v>337</x:v>
      </x:c>
      <x:c r="E67" s="19" t="n">
        <x:v>33151</x:v>
      </x:c>
      <x:c r="F67" s="19" t="n">
        <x:v>3934000</x:v>
      </x:c>
      <x:c r="G67" s="23" t="n">
        <x:v>0.3201236878509236</x:v>
      </x:c>
      <x:c r="H67" s="19" t="n">
        <x:v>4495000</x:v>
      </x:c>
      <x:c r="I67" s="23" t="n">
        <x:v>0.36577426967206444</x:v>
      </x:c>
      <x:c r="J67" t="n">
        <x:v>169.8</x:v>
      </x:c>
      <x:c r="K67" t="n">
        <x:v>164.4</x:v>
      </x:c>
      <x:c r="L67" t="n">
        <x:v>2.5</x:v>
      </x:c>
      <x:c r="M67" t="n">
        <x:v>1.3</x:v>
      </x:c>
      <x:c r="N67" t="n">
        <x:v>1.5</x:v>
      </x:c>
      <x:c r="O67" t="n">
        <x:v>1.9</x:v>
      </x:c>
      <x:c r="P67" t="n">
        <x:v>0.4</x:v>
      </x:c>
      <x:c r="Q67" t="n">
        <x:v>10</x:v>
      </x:c>
      <x:c r="R67" t="n">
        <x:v>4.69</x:v>
      </x:c>
      <x:c r="S67" t="n">
        <x:v>0</x:v>
      </x:c>
      <x:c r="T67" s="19" t="n">
        <x:v>3860000</x:v>
      </x:c>
      <x:c r="U67" t="str">
        <x:v>OK</x:v>
      </x:c>
      <x:c r="V67" t="str">
        <x:v>GA-005</x:v>
      </x:c>
    </x:row>
    <x:row r="68">
      <x:c r="A68" s="15" t="n">
        <x:v>46240</x:v>
      </x:c>
      <x:c r="B68" t="str">
        <x:v>목</x:v>
      </x:c>
      <x:c r="C68" s="19" t="n">
        <x:v>12018000</x:v>
      </x:c>
      <x:c r="D68" t="n">
        <x:v>333</x:v>
      </x:c>
      <x:c r="E68" s="19" t="n">
        <x:v>32808</x:v>
      </x:c>
      <x:c r="F68" s="19" t="n">
        <x:v>3933000</x:v>
      </x:c>
      <x:c r="G68" s="23" t="n">
        <x:v>0.3272591113330005</x:v>
      </x:c>
      <x:c r="H68" s="19" t="n">
        <x:v>4573000</x:v>
      </x:c>
      <x:c r="I68" s="23" t="n">
        <x:v>0.3805125644866034</x:v>
      </x:c>
      <x:c r="J68" t="n">
        <x:v>171.1</x:v>
      </x:c>
      <x:c r="K68" t="n">
        <x:v>161.5</x:v>
      </x:c>
      <x:c r="L68" t="n">
        <x:v>2.6</x:v>
      </x:c>
      <x:c r="M68" t="n">
        <x:v>0.9</x:v>
      </x:c>
      <x:c r="N68" t="n">
        <x:v>6.1</x:v>
      </x:c>
      <x:c r="O68" t="n">
        <x:v>5.1</x:v>
      </x:c>
      <x:c r="P68" t="n">
        <x:v>-1</x:v>
      </x:c>
      <x:c r="Q68" t="n">
        <x:v>12</x:v>
      </x:c>
      <x:c r="R68" t="n">
        <x:v>4.62</x:v>
      </x:c>
      <x:c r="S68" t="n">
        <x:v>2</x:v>
      </x:c>
      <x:c r="T68" s="19" t="n">
        <x:v>3512000</x:v>
      </x:c>
      <x:c r="U68" t="str">
        <x:v>OK</x:v>
      </x:c>
      <x:c r="V68" t="str">
        <x:v>GA-005</x:v>
      </x:c>
    </x:row>
    <x:row r="69">
      <x:c r="A69" s="15" t="n">
        <x:v>46241</x:v>
      </x:c>
      <x:c r="B69" t="str">
        <x:v>금</x:v>
      </x:c>
      <x:c r="C69" s="19" t="n">
        <x:v>14078000</x:v>
      </x:c>
      <x:c r="D69" t="n">
        <x:v>377</x:v>
      </x:c>
      <x:c r="E69" s="19" t="n">
        <x:v>33947</x:v>
      </x:c>
      <x:c r="F69" s="19" t="n">
        <x:v>4466000</x:v>
      </x:c>
      <x:c r="G69" s="23" t="n">
        <x:v>0.31723256144338685</x:v>
      </x:c>
      <x:c r="H69" s="19" t="n">
        <x:v>5307000</x:v>
      </x:c>
      <x:c r="I69" s="23" t="n">
        <x:v>0.37697116067623243</x:v>
      </x:c>
      <x:c r="J69" t="n">
        <x:v>212.6</x:v>
      </x:c>
      <x:c r="K69" t="n">
        <x:v>194</x:v>
      </x:c>
      <x:c r="L69" t="n">
        <x:v>2.8</x:v>
      </x:c>
      <x:c r="M69" t="n">
        <x:v>1.5</x:v>
      </x:c>
      <x:c r="N69" t="n">
        <x:v>14.4</x:v>
      </x:c>
      <x:c r="O69" t="n">
        <x:v>14</x:v>
      </x:c>
      <x:c r="P69" t="n">
        <x:v>-0.4</x:v>
      </x:c>
      <x:c r="Q69" t="n">
        <x:v>12</x:v>
      </x:c>
      <x:c r="R69" t="n">
        <x:v>4.67</x:v>
      </x:c>
      <x:c r="S69" t="n">
        <x:v>0</x:v>
      </x:c>
      <x:c r="T69" s="19" t="n">
        <x:v>4305000</x:v>
      </x:c>
      <x:c r="U69" t="str">
        <x:v>OK</x:v>
      </x:c>
      <x:c r="V69" t="str">
        <x:v>GA-005</x:v>
      </x:c>
    </x:row>
    <x:row r="70">
      <x:c r="A70" s="15" t="n">
        <x:v>46242</x:v>
      </x:c>
      <x:c r="B70" t="str">
        <x:v>토</x:v>
      </x:c>
      <x:c r="C70" s="19" t="n">
        <x:v>15704000</x:v>
      </x:c>
      <x:c r="D70" t="n">
        <x:v>482</x:v>
      </x:c>
      <x:c r="E70" s="19" t="n">
        <x:v>32581</x:v>
      </x:c>
      <x:c r="F70" s="19" t="n">
        <x:v>3968000</x:v>
      </x:c>
      <x:c r="G70" s="23" t="n">
        <x:v>0.25267447784004077</x:v>
      </x:c>
      <x:c r="H70" s="19" t="n">
        <x:v>5141000</x:v>
      </x:c>
      <x:c r="I70" s="23" t="n">
        <x:v>0.32736882322975036</x:v>
      </x:c>
      <x:c r="J70" t="n">
        <x:v>231.8</x:v>
      </x:c>
      <x:c r="K70" t="n">
        <x:v>222</x:v>
      </x:c>
      <x:c r="L70" t="n">
        <x:v>4.8</x:v>
      </x:c>
      <x:c r="M70" t="n">
        <x:v>1.9</x:v>
      </x:c>
      <x:c r="N70" t="n">
        <x:v>3.1</x:v>
      </x:c>
      <x:c r="O70" t="n">
        <x:v>2.7</x:v>
      </x:c>
      <x:c r="P70" t="n">
        <x:v>-0.4</x:v>
      </x:c>
      <x:c r="Q70" t="n">
        <x:v>20</x:v>
      </x:c>
      <x:c r="R70" t="n">
        <x:v>4.58</x:v>
      </x:c>
      <x:c r="S70" t="n">
        <x:v>1</x:v>
      </x:c>
      <x:c r="T70" s="19" t="n">
        <x:v>6595000</x:v>
      </x:c>
      <x:c r="U70" t="str">
        <x:v>OK</x:v>
      </x:c>
      <x:c r="V70" t="str"/>
    </x:row>
    <x:row r="71">
      <x:c r="A71" s="15" t="n">
        <x:v>46243</x:v>
      </x:c>
      <x:c r="B71" t="str">
        <x:v>일</x:v>
      </x:c>
      <x:c r="C71" s="19" t="n">
        <x:v>13400000</x:v>
      </x:c>
      <x:c r="D71" t="n">
        <x:v>407</x:v>
      </x:c>
      <x:c r="E71" s="19" t="n">
        <x:v>32924</x:v>
      </x:c>
      <x:c r="F71" s="19" t="n">
        <x:v>3575000</x:v>
      </x:c>
      <x:c r="G71" s="23" t="n">
        <x:v>0.2667910447761194</x:v>
      </x:c>
      <x:c r="H71" s="19" t="n">
        <x:v>4444000</x:v>
      </x:c>
      <x:c r="I71" s="23" t="n">
        <x:v>0.33164179104477615</x:v>
      </x:c>
      <x:c r="J71" t="n">
        <x:v>206.3</x:v>
      </x:c>
      <x:c r="K71" t="n">
        <x:v>199.7</x:v>
      </x:c>
      <x:c r="L71" t="n">
        <x:v>4</x:v>
      </x:c>
      <x:c r="M71" t="n">
        <x:v>1.1</x:v>
      </x:c>
      <x:c r="N71" t="n">
        <x:v>1.5</x:v>
      </x:c>
      <x:c r="O71" t="n">
        <x:v>1.8</x:v>
      </x:c>
      <x:c r="P71" t="n">
        <x:v>0.3</x:v>
      </x:c>
      <x:c r="Q71" t="n">
        <x:v>13</x:v>
      </x:c>
      <x:c r="R71" t="n">
        <x:v>4.62</x:v>
      </x:c>
      <x:c r="S71" t="n">
        <x:v>0</x:v>
      </x:c>
      <x:c r="T71" s="19" t="n">
        <x:v>5381000</x:v>
      </x:c>
      <x:c r="U71" t="str">
        <x:v>OK</x:v>
      </x:c>
      <x:c r="V71" t="str"/>
    </x:row>
    <x:row r="72">
      <x:c r="A72" s="15" t="n">
        <x:v>46244</x:v>
      </x:c>
      <x:c r="B72" t="str">
        <x:v>월</x:v>
      </x:c>
      <x:c r="C72" s="19" t="n">
        <x:v>9975000</x:v>
      </x:c>
      <x:c r="D72" t="n">
        <x:v>308</x:v>
      </x:c>
      <x:c r="E72" s="19" t="n">
        <x:v>32386</x:v>
      </x:c>
      <x:c r="F72" s="19" t="n">
        <x:v>2634000</x:v>
      </x:c>
      <x:c r="G72" s="23" t="n">
        <x:v>0.26406015037593983</x:v>
      </x:c>
      <x:c r="H72" s="19" t="n">
        <x:v>3353000</x:v>
      </x:c>
      <x:c r="I72" s="23" t="n">
        <x:v>0.33614035087719296</x:v>
      </x:c>
      <x:c r="J72" t="n">
        <x:v>166.2</x:v>
      </x:c>
      <x:c r="K72" t="n">
        <x:v>151.6</x:v>
      </x:c>
      <x:c r="L72" t="n">
        <x:v>3.1</x:v>
      </x:c>
      <x:c r="M72" t="n">
        <x:v>1.4</x:v>
      </x:c>
      <x:c r="N72" t="n">
        <x:v>10.2</x:v>
      </x:c>
      <x:c r="O72" t="n">
        <x:v>9.3</x:v>
      </x:c>
      <x:c r="P72" t="n">
        <x:v>-0.8</x:v>
      </x:c>
      <x:c r="Q72" t="n">
        <x:v>11</x:v>
      </x:c>
      <x:c r="R72" t="n">
        <x:v>4.68</x:v>
      </x:c>
      <x:c r="S72" t="n">
        <x:v>2</x:v>
      </x:c>
      <x:c r="T72" s="19" t="n">
        <x:v>3988000</x:v>
      </x:c>
      <x:c r="U72" t="str">
        <x:v>OK</x:v>
      </x:c>
      <x:c r="V72" t="str"/>
    </x:row>
    <x:row r="73">
      <x:c r="A73" s="15" t="n">
        <x:v>46245</x:v>
      </x:c>
      <x:c r="B73" t="str">
        <x:v>화</x:v>
      </x:c>
      <x:c r="C73" s="19" t="n">
        <x:v>10569000</x:v>
      </x:c>
      <x:c r="D73" t="n">
        <x:v>334</x:v>
      </x:c>
      <x:c r="E73" s="19" t="n">
        <x:v>31644</x:v>
      </x:c>
      <x:c r="F73" s="19" t="n">
        <x:v>2969000</x:v>
      </x:c>
      <x:c r="G73" s="23" t="n">
        <x:v>0.28091588608193774</x:v>
      </x:c>
      <x:c r="H73" s="19" t="n">
        <x:v>3314000</x:v>
      </x:c>
      <x:c r="I73" s="23" t="n">
        <x:v>0.3135585202005866</x:v>
      </x:c>
      <x:c r="J73" t="n">
        <x:v>177.7</x:v>
      </x:c>
      <x:c r="K73" t="n">
        <x:v>162.1</x:v>
      </x:c>
      <x:c r="L73" t="n">
        <x:v>2.7</x:v>
      </x:c>
      <x:c r="M73" t="n">
        <x:v>1.1</x:v>
      </x:c>
      <x:c r="N73" t="n">
        <x:v>11.8</x:v>
      </x:c>
      <x:c r="O73" t="n">
        <x:v>11.6</x:v>
      </x:c>
      <x:c r="P73" t="n">
        <x:v>-0.3</x:v>
      </x:c>
      <x:c r="Q73" t="n">
        <x:v>9</x:v>
      </x:c>
      <x:c r="R73" t="n">
        <x:v>4.8</x:v>
      </x:c>
      <x:c r="S73" t="n">
        <x:v>2</x:v>
      </x:c>
      <x:c r="T73" s="19" t="n">
        <x:v>4286000</x:v>
      </x:c>
      <x:c r="U73" t="str">
        <x:v>OK</x:v>
      </x:c>
      <x:c r="V73" t="str"/>
    </x:row>
    <x:row r="74">
      <x:c r="A74" s="15" t="n">
        <x:v>46246</x:v>
      </x:c>
      <x:c r="B74" t="str">
        <x:v>수</x:v>
      </x:c>
      <x:c r="C74" s="19" t="n">
        <x:v>10674000</x:v>
      </x:c>
      <x:c r="D74" t="n">
        <x:v>349</x:v>
      </x:c>
      <x:c r="E74" s="19" t="n">
        <x:v>30585</x:v>
      </x:c>
      <x:c r="F74" s="19" t="n">
        <x:v>2820000</x:v>
      </x:c>
      <x:c r="G74" s="23" t="n">
        <x:v>0.2641933670601461</x:v>
      </x:c>
      <x:c r="H74" s="19" t="n">
        <x:v>3357000</x:v>
      </x:c>
      <x:c r="I74" s="23" t="n">
        <x:v>0.3145025295109612</x:v>
      </x:c>
      <x:c r="J74" t="n">
        <x:v>163.5</x:v>
      </x:c>
      <x:c r="K74" t="n">
        <x:v>157.2</x:v>
      </x:c>
      <x:c r="L74" t="n">
        <x:v>2.2</x:v>
      </x:c>
      <x:c r="M74" t="n">
        <x:v>1.6</x:v>
      </x:c>
      <x:c r="N74" t="n">
        <x:v>2.5</x:v>
      </x:c>
      <x:c r="O74" t="n">
        <x:v>2.1</x:v>
      </x:c>
      <x:c r="P74" t="n">
        <x:v>-0.4</x:v>
      </x:c>
      <x:c r="Q74" t="n">
        <x:v>14</x:v>
      </x:c>
      <x:c r="R74" t="n">
        <x:v>4.47</x:v>
      </x:c>
      <x:c r="S74" t="n">
        <x:v>1</x:v>
      </x:c>
      <x:c r="T74" s="19" t="n">
        <x:v>4497000</x:v>
      </x:c>
      <x:c r="U74" t="str">
        <x:v>OK</x:v>
      </x:c>
      <x:c r="V74" t="str"/>
    </x:row>
    <x:row r="75">
      <x:c r="A75" s="15" t="n">
        <x:v>46247</x:v>
      </x:c>
      <x:c r="B75" t="str">
        <x:v>목</x:v>
      </x:c>
      <x:c r="C75" s="19" t="n">
        <x:v>11221000</x:v>
      </x:c>
      <x:c r="D75" t="n">
        <x:v>365</x:v>
      </x:c>
      <x:c r="E75" s="19" t="n">
        <x:v>30742</x:v>
      </x:c>
      <x:c r="F75" s="19" t="n">
        <x:v>2887000</x:v>
      </x:c>
      <x:c r="G75" s="23" t="n">
        <x:v>0.25728544692986366</x:v>
      </x:c>
      <x:c r="H75" s="19" t="n">
        <x:v>3750000</x:v>
      </x:c>
      <x:c r="I75" s="23" t="n">
        <x:v>0.33419481329649764</x:v>
      </x:c>
      <x:c r="J75" t="n">
        <x:v>178.2</x:v>
      </x:c>
      <x:c r="K75" t="n">
        <x:v>172.1</x:v>
      </x:c>
      <x:c r="L75" t="n">
        <x:v>3.2</x:v>
      </x:c>
      <x:c r="M75" t="n">
        <x:v>1.3</x:v>
      </x:c>
      <x:c r="N75" t="n">
        <x:v>1.5</x:v>
      </x:c>
      <x:c r="O75" t="n">
        <x:v>2.1</x:v>
      </x:c>
      <x:c r="P75" t="n">
        <x:v>0.6</x:v>
      </x:c>
      <x:c r="Q75" t="n">
        <x:v>13</x:v>
      </x:c>
      <x:c r="R75" t="n">
        <x:v>4.76</x:v>
      </x:c>
      <x:c r="S75" t="n">
        <x:v>0</x:v>
      </x:c>
      <x:c r="T75" s="19" t="n">
        <x:v>4584000</x:v>
      </x:c>
      <x:c r="U75" t="str">
        <x:v>OK</x:v>
      </x:c>
      <x:c r="V75" t="str"/>
    </x:row>
    <x:row r="76">
      <x:c r="A76" s="15" t="n">
        <x:v>46248</x:v>
      </x:c>
      <x:c r="B76" t="str">
        <x:v>금</x:v>
      </x:c>
      <x:c r="C76" s="19" t="n">
        <x:v>12499000</x:v>
      </x:c>
      <x:c r="D76" t="n">
        <x:v>389</x:v>
      </x:c>
      <x:c r="E76" s="19" t="n">
        <x:v>32131</x:v>
      </x:c>
      <x:c r="F76" s="19" t="n">
        <x:v>3343000</x:v>
      </x:c>
      <x:c r="G76" s="23" t="n">
        <x:v>0.2674613969117529</x:v>
      </x:c>
      <x:c r="H76" s="19" t="n">
        <x:v>3918000</x:v>
      </x:c>
      <x:c r="I76" s="23" t="n">
        <x:v>0.3134650772061765</x:v>
      </x:c>
      <x:c r="J76" t="n">
        <x:v>203.5</x:v>
      </x:c>
      <x:c r="K76" t="n">
        <x:v>191.8</x:v>
      </x:c>
      <x:c r="L76" t="n">
        <x:v>3.7</x:v>
      </x:c>
      <x:c r="M76" t="n">
        <x:v>2.1</x:v>
      </x:c>
      <x:c r="N76" t="n">
        <x:v>5.9</x:v>
      </x:c>
      <x:c r="O76" t="n">
        <x:v>4.7</x:v>
      </x:c>
      <x:c r="P76" t="n">
        <x:v>-1.2</x:v>
      </x:c>
      <x:c r="Q76" t="n">
        <x:v>15</x:v>
      </x:c>
      <x:c r="R76" t="n">
        <x:v>4.59</x:v>
      </x:c>
      <x:c r="S76" t="n">
        <x:v>1</x:v>
      </x:c>
      <x:c r="T76" s="19" t="n">
        <x:v>5238000</x:v>
      </x:c>
      <x:c r="U76" t="str">
        <x:v>OK</x:v>
      </x:c>
      <x:c r="V76" t="str"/>
    </x:row>
    <x:row r="77">
      <x:c r="A77" s="15" t="n">
        <x:v>46249</x:v>
      </x:c>
      <x:c r="B77" t="str">
        <x:v>토</x:v>
      </x:c>
      <x:c r="C77" s="19" t="n">
        <x:v>15928000</x:v>
      </x:c>
      <x:c r="D77" t="n">
        <x:v>479</x:v>
      </x:c>
      <x:c r="E77" s="19" t="n">
        <x:v>33253</x:v>
      </x:c>
      <x:c r="F77" s="19" t="n">
        <x:v>3996000</x:v>
      </x:c>
      <x:c r="G77" s="23" t="n">
        <x:v>0.2508789552988448</x:v>
      </x:c>
      <x:c r="H77" s="19" t="n">
        <x:v>5026000</x:v>
      </x:c>
      <x:c r="I77" s="23" t="n">
        <x:v>0.3155449522852838</x:v>
      </x:c>
      <x:c r="J77" t="n">
        <x:v>252.1</x:v>
      </x:c>
      <x:c r="K77" t="n">
        <x:v>230.4</x:v>
      </x:c>
      <x:c r="L77" t="n">
        <x:v>4.5</x:v>
      </x:c>
      <x:c r="M77" t="n">
        <x:v>2.6</x:v>
      </x:c>
      <x:c r="N77" t="n">
        <x:v>14.6</x:v>
      </x:c>
      <x:c r="O77" t="n">
        <x:v>14.1</x:v>
      </x:c>
      <x:c r="P77" t="n">
        <x:v>-0.5</x:v>
      </x:c>
      <x:c r="Q77" t="n">
        <x:v>17</x:v>
      </x:c>
      <x:c r="R77" t="n">
        <x:v>4.08</x:v>
      </x:c>
      <x:c r="S77" t="n">
        <x:v>8</x:v>
      </x:c>
      <x:c r="T77" s="19" t="n">
        <x:v>6906000</x:v>
      </x:c>
      <x:c r="U77" t="str">
        <x:v>OK</x:v>
      </x:c>
      <x:c r="V77" t="str">
        <x:v>GA-006</x:v>
      </x:c>
    </x:row>
    <x:row r="78">
      <x:c r="A78" s="15" t="n">
        <x:v>46250</x:v>
      </x:c>
      <x:c r="B78" t="str">
        <x:v>일</x:v>
      </x:c>
      <x:c r="C78" s="19" t="n">
        <x:v>12826000</x:v>
      </x:c>
      <x:c r="D78" t="n">
        <x:v>394</x:v>
      </x:c>
      <x:c r="E78" s="19" t="n">
        <x:v>32553</x:v>
      </x:c>
      <x:c r="F78" s="19" t="n">
        <x:v>3264000</x:v>
      </x:c>
      <x:c r="G78" s="23" t="n">
        <x:v>0.25448308124122876</x:v>
      </x:c>
      <x:c r="H78" s="19" t="n">
        <x:v>4175000</x:v>
      </x:c>
      <x:c r="I78" s="23" t="n">
        <x:v>0.32551068142834866</x:v>
      </x:c>
      <x:c r="J78" t="n">
        <x:v>204.5</x:v>
      </x:c>
      <x:c r="K78" t="n">
        <x:v>187.7</x:v>
      </x:c>
      <x:c r="L78" t="n">
        <x:v>2.6</x:v>
      </x:c>
      <x:c r="M78" t="n">
        <x:v>2.1</x:v>
      </x:c>
      <x:c r="N78" t="n">
        <x:v>12.1</x:v>
      </x:c>
      <x:c r="O78" t="n">
        <x:v>11.6</x:v>
      </x:c>
      <x:c r="P78" t="n">
        <x:v>-0.5</x:v>
      </x:c>
      <x:c r="Q78" t="n">
        <x:v>14</x:v>
      </x:c>
      <x:c r="R78" t="n">
        <x:v>4.63</x:v>
      </x:c>
      <x:c r="S78" t="n">
        <x:v>0</x:v>
      </x:c>
      <x:c r="T78" s="19" t="n">
        <x:v>5387000</x:v>
      </x:c>
      <x:c r="U78" t="str">
        <x:v>OK</x:v>
      </x:c>
      <x:c r="V78" t="str"/>
    </x:row>
    <x:row r="79">
      <x:c r="A79" s="15" t="n">
        <x:v>46251</x:v>
      </x:c>
      <x:c r="B79" t="str">
        <x:v>월</x:v>
      </x:c>
      <x:c r="C79" s="19" t="n">
        <x:v>9171000</x:v>
      </x:c>
      <x:c r="D79" t="n">
        <x:v>286</x:v>
      </x:c>
      <x:c r="E79" s="19" t="n">
        <x:v>32066</x:v>
      </x:c>
      <x:c r="F79" s="19" t="n">
        <x:v>2354000</x:v>
      </x:c>
      <x:c r="G79" s="23" t="n">
        <x:v>0.2566786609966198</x:v>
      </x:c>
      <x:c r="H79" s="19" t="n">
        <x:v>2989000</x:v>
      </x:c>
      <x:c r="I79" s="23" t="n">
        <x:v>0.32591865663504527</x:v>
      </x:c>
      <x:c r="J79" t="n">
        <x:v>155.7</x:v>
      </x:c>
      <x:c r="K79" t="n">
        <x:v>142</x:v>
      </x:c>
      <x:c r="L79" t="n">
        <x:v>2.4</x:v>
      </x:c>
      <x:c r="M79" t="n">
        <x:v>1.6</x:v>
      </x:c>
      <x:c r="N79" t="n">
        <x:v>9.7</x:v>
      </x:c>
      <x:c r="O79" t="n">
        <x:v>9.8</x:v>
      </x:c>
      <x:c r="P79" t="n">
        <x:v>0.1</x:v>
      </x:c>
      <x:c r="Q79" t="n">
        <x:v>11</x:v>
      </x:c>
      <x:c r="R79" t="n">
        <x:v>4.73</x:v>
      </x:c>
      <x:c r="S79" t="n">
        <x:v>0</x:v>
      </x:c>
      <x:c r="T79" s="19" t="n">
        <x:v>3828000</x:v>
      </x:c>
      <x:c r="U79" t="str">
        <x:v>OK</x:v>
      </x:c>
      <x:c r="V79" t="str"/>
    </x:row>
    <x:row r="80">
      <x:c r="A80" s="15" t="n">
        <x:v>46252</x:v>
      </x:c>
      <x:c r="B80" t="str">
        <x:v>화</x:v>
      </x:c>
      <x:c r="C80" s="19" t="n">
        <x:v>9360000</x:v>
      </x:c>
      <x:c r="D80" t="n">
        <x:v>289</x:v>
      </x:c>
      <x:c r="E80" s="19" t="n">
        <x:v>32388</x:v>
      </x:c>
      <x:c r="F80" s="19" t="n">
        <x:v>2438000</x:v>
      </x:c>
      <x:c r="G80" s="23" t="n">
        <x:v>0.2604700854700855</x:v>
      </x:c>
      <x:c r="H80" s="19" t="n">
        <x:v>3007000</x:v>
      </x:c>
      <x:c r="I80" s="23" t="n">
        <x:v>0.3212606837606838</x:v>
      </x:c>
      <x:c r="J80" t="n">
        <x:v>137.6</x:v>
      </x:c>
      <x:c r="K80" t="n">
        <x:v>131.5</x:v>
      </x:c>
      <x:c r="L80" t="n">
        <x:v>1.9</x:v>
      </x:c>
      <x:c r="M80" t="n">
        <x:v>1</x:v>
      </x:c>
      <x:c r="N80" t="n">
        <x:v>3.2</x:v>
      </x:c>
      <x:c r="O80" t="n">
        <x:v>4.1</x:v>
      </x:c>
      <x:c r="P80" t="n">
        <x:v>0.9</x:v>
      </x:c>
      <x:c r="Q80" t="n">
        <x:v>7</x:v>
      </x:c>
      <x:c r="R80" t="n">
        <x:v>4.52</x:v>
      </x:c>
      <x:c r="S80" t="n">
        <x:v>0</x:v>
      </x:c>
      <x:c r="T80" s="19" t="n">
        <x:v>3915000</x:v>
      </x:c>
      <x:c r="U80" t="str">
        <x:v>OK</x:v>
      </x:c>
      <x:c r="V80" t="str"/>
    </x:row>
    <x:row r="81">
      <x:c r="A81" s="15" t="n">
        <x:v>46253</x:v>
      </x:c>
      <x:c r="B81" t="str">
        <x:v>수</x:v>
      </x:c>
      <x:c r="C81" s="19" t="n">
        <x:v>10409000</x:v>
      </x:c>
      <x:c r="D81" t="n">
        <x:v>319</x:v>
      </x:c>
      <x:c r="E81" s="19" t="n">
        <x:v>32630</x:v>
      </x:c>
      <x:c r="F81" s="19" t="n">
        <x:v>2667000</x:v>
      </x:c>
      <x:c r="G81" s="23" t="n">
        <x:v>0.2562205783456624</x:v>
      </x:c>
      <x:c r="H81" s="19" t="n">
        <x:v>3291000</x:v>
      </x:c>
      <x:c r="I81" s="23" t="n">
        <x:v>0.3161687001633202</x:v>
      </x:c>
      <x:c r="J81" t="n">
        <x:v>164.2</x:v>
      </x:c>
      <x:c r="K81" t="n">
        <x:v>154.8</x:v>
      </x:c>
      <x:c r="L81" t="n">
        <x:v>1.9</x:v>
      </x:c>
      <x:c r="M81" t="n">
        <x:v>1.4</x:v>
      </x:c>
      <x:c r="N81" t="n">
        <x:v>6.1</x:v>
      </x:c>
      <x:c r="O81" t="n">
        <x:v>5</x:v>
      </x:c>
      <x:c r="P81" t="n">
        <x:v>-1.1</x:v>
      </x:c>
      <x:c r="Q81" t="n">
        <x:v>9</x:v>
      </x:c>
      <x:c r="R81" t="n">
        <x:v>4.58</x:v>
      </x:c>
      <x:c r="S81" t="n">
        <x:v>1</x:v>
      </x:c>
      <x:c r="T81" s="19" t="n">
        <x:v>4451000</x:v>
      </x:c>
      <x:c r="U81" t="str">
        <x:v>OK</x:v>
      </x:c>
      <x:c r="V81" t="str"/>
    </x:row>
    <x:row r="82">
      <x:c r="A82" s="15" t="n">
        <x:v>46254</x:v>
      </x:c>
      <x:c r="B82" t="str">
        <x:v>목</x:v>
      </x:c>
      <x:c r="C82" s="19" t="n">
        <x:v>11204000</x:v>
      </x:c>
      <x:c r="D82" t="n">
        <x:v>357</x:v>
      </x:c>
      <x:c r="E82" s="19" t="n">
        <x:v>31384</x:v>
      </x:c>
      <x:c r="F82" s="19" t="n">
        <x:v>2832000</x:v>
      </x:c>
      <x:c r="G82" s="23" t="n">
        <x:v>0.25276686897536593</x:v>
      </x:c>
      <x:c r="H82" s="19" t="n">
        <x:v>3706000</x:v>
      </x:c>
      <x:c r="I82" s="23" t="n">
        <x:v>0.3307747233131025</x:v>
      </x:c>
      <x:c r="J82" t="n">
        <x:v>169.8</x:v>
      </x:c>
      <x:c r="K82" t="n">
        <x:v>160.6</x:v>
      </x:c>
      <x:c r="L82" t="n">
        <x:v>2.4</x:v>
      </x:c>
      <x:c r="M82" t="n">
        <x:v>1.8</x:v>
      </x:c>
      <x:c r="N82" t="n">
        <x:v>4.9</x:v>
      </x:c>
      <x:c r="O82" t="n">
        <x:v>5.1</x:v>
      </x:c>
      <x:c r="P82" t="n">
        <x:v>0.1</x:v>
      </x:c>
      <x:c r="Q82" t="n">
        <x:v>11</x:v>
      </x:c>
      <x:c r="R82" t="n">
        <x:v>4.54</x:v>
      </x:c>
      <x:c r="S82" t="n">
        <x:v>0</x:v>
      </x:c>
      <x:c r="T82" s="19" t="n">
        <x:v>4666000</x:v>
      </x:c>
      <x:c r="U82" t="str">
        <x:v>OK</x:v>
      </x:c>
      <x:c r="V82" t="str"/>
    </x:row>
    <x:row r="83">
      <x:c r="A83" s="15" t="n">
        <x:v>46255</x:v>
      </x:c>
      <x:c r="B83" t="str">
        <x:v>금</x:v>
      </x:c>
      <x:c r="C83" s="19" t="n">
        <x:v>14162000</x:v>
      </x:c>
      <x:c r="D83" t="n">
        <x:v>419</x:v>
      </x:c>
      <x:c r="E83" s="19" t="n">
        <x:v>33800</x:v>
      </x:c>
      <x:c r="F83" s="19" t="n">
        <x:v>3470000</x:v>
      </x:c>
      <x:c r="G83" s="23" t="n">
        <x:v>0.24502188956362095</x:v>
      </x:c>
      <x:c r="H83" s="19"/>
      <x:c r="I83" s="23"/>
      <x:c r="J83" t="n">
        <x:v>210.8</x:v>
      </x:c>
      <x:c r="K83" t="n">
        <x:v>196.5</x:v>
      </x:c>
      <x:c r="L83" t="n">
        <x:v>3.9</x:v>
      </x:c>
      <x:c r="M83" t="n">
        <x:v>1.2</x:v>
      </x:c>
      <x:c r="N83" t="n">
        <x:v>9.1</x:v>
      </x:c>
      <x:c r="O83" t="n">
        <x:v>8.2</x:v>
      </x:c>
      <x:c r="P83" t="n">
        <x:v>-0.9</x:v>
      </x:c>
      <x:c r="Q83" t="n">
        <x:v>13</x:v>
      </x:c>
      <x:c r="R83" t="n">
        <x:v>4.56</x:v>
      </x:c>
      <x:c r="S83" t="n">
        <x:v>2</x:v>
      </x:c>
      <x:c r="T83" s="19"/>
      <x:c r="U83" t="str">
        <x:v>DATA_INCOMPLETE</x:v>
      </x:c>
      <x:c r="V83" t="str">
        <x:v>GA-007</x:v>
      </x:c>
    </x:row>
    <x:row r="84">
      <x:c r="A84" s="15" t="n">
        <x:v>46256</x:v>
      </x:c>
      <x:c r="B84" t="str">
        <x:v>토</x:v>
      </x:c>
      <x:c r="C84" s="19" t="n">
        <x:v>16071000</x:v>
      </x:c>
      <x:c r="D84" t="n">
        <x:v>474</x:v>
      </x:c>
      <x:c r="E84" s="19" t="n">
        <x:v>33905</x:v>
      </x:c>
      <x:c r="F84" s="19" t="n">
        <x:v>4394000</x:v>
      </x:c>
      <x:c r="G84" s="23" t="n">
        <x:v>0.2734117354240558</x:v>
      </x:c>
      <x:c r="H84" s="19" t="n">
        <x:v>5245000</x:v>
      </x:c>
      <x:c r="I84" s="23" t="n">
        <x:v>0.3263642586024516</x:v>
      </x:c>
      <x:c r="J84" t="n">
        <x:v>259.7</x:v>
      </x:c>
      <x:c r="K84" t="n">
        <x:v>243</x:v>
      </x:c>
      <x:c r="L84" t="n">
        <x:v>5.1</x:v>
      </x:c>
      <x:c r="M84" t="n">
        <x:v>1.5</x:v>
      </x:c>
      <x:c r="N84" t="n">
        <x:v>10.1</x:v>
      </x:c>
      <x:c r="O84" t="n">
        <x:v>10.5</x:v>
      </x:c>
      <x:c r="P84" t="n">
        <x:v>0.4</x:v>
      </x:c>
      <x:c r="Q84" t="n">
        <x:v>12</x:v>
      </x:c>
      <x:c r="R84" t="n">
        <x:v>4.38</x:v>
      </x:c>
      <x:c r="S84" t="n">
        <x:v>1</x:v>
      </x:c>
      <x:c r="T84" s="19" t="n">
        <x:v>6432000</x:v>
      </x:c>
      <x:c r="U84" t="str">
        <x:v>OK</x:v>
      </x:c>
      <x:c r="V84" t="str"/>
    </x:row>
    <x:row r="85">
      <x:c r="A85" s="15" t="n">
        <x:v>46257</x:v>
      </x:c>
      <x:c r="B85" t="str">
        <x:v>일</x:v>
      </x:c>
      <x:c r="C85" s="19" t="n">
        <x:v>13201000</x:v>
      </x:c>
      <x:c r="D85" t="n">
        <x:v>432</x:v>
      </x:c>
      <x:c r="E85" s="19" t="n">
        <x:v>30558</x:v>
      </x:c>
      <x:c r="F85" s="19" t="n">
        <x:v>3545000</x:v>
      </x:c>
      <x:c r="G85" s="23" t="n">
        <x:v>0.26854026210135595</x:v>
      </x:c>
      <x:c r="H85" s="19" t="n">
        <x:v>4402000</x:v>
      </x:c>
      <x:c r="I85" s="23" t="n">
        <x:v>0.3334595863949701</x:v>
      </x:c>
      <x:c r="J85" t="n">
        <x:v>189.5</x:v>
      </x:c>
      <x:c r="K85" t="n">
        <x:v>182</x:v>
      </x:c>
      <x:c r="L85" t="n">
        <x:v>2.9</x:v>
      </x:c>
      <x:c r="M85" t="n">
        <x:v>1.5</x:v>
      </x:c>
      <x:c r="N85" t="n">
        <x:v>3.1</x:v>
      </x:c>
      <x:c r="O85" t="n">
        <x:v>2.6</x:v>
      </x:c>
      <x:c r="P85" t="n">
        <x:v>-0.6</x:v>
      </x:c>
      <x:c r="Q85" t="n">
        <x:v>17</x:v>
      </x:c>
      <x:c r="R85" t="n">
        <x:v>4.61</x:v>
      </x:c>
      <x:c r="S85" t="n">
        <x:v>1</x:v>
      </x:c>
      <x:c r="T85" s="19" t="n">
        <x:v>5254000</x:v>
      </x:c>
      <x:c r="U85" t="str">
        <x:v>OK</x:v>
      </x:c>
      <x:c r="V85" t="str"/>
    </x:row>
    <x:row r="86">
      <x:c r="A86" s="15" t="n">
        <x:v>46258</x:v>
      </x:c>
      <x:c r="B86" t="str">
        <x:v>월</x:v>
      </x:c>
      <x:c r="C86" s="19" t="n">
        <x:v>9859000</x:v>
      </x:c>
      <x:c r="D86" t="n">
        <x:v>318</x:v>
      </x:c>
      <x:c r="E86" s="19" t="n">
        <x:v>31003</x:v>
      </x:c>
      <x:c r="F86" s="19" t="n">
        <x:v>2693000</x:v>
      </x:c>
      <x:c r="G86" s="23" t="n">
        <x:v>0.27315143523683943</x:v>
      </x:c>
      <x:c r="H86" s="19" t="n">
        <x:v>3315000</x:v>
      </x:c>
      <x:c r="I86" s="23" t="n">
        <x:v>0.33624099807282687</x:v>
      </x:c>
      <x:c r="J86" t="n">
        <x:v>158.1</x:v>
      </x:c>
      <x:c r="K86" t="n">
        <x:v>144.1</x:v>
      </x:c>
      <x:c r="L86" t="n">
        <x:v>1.8</x:v>
      </x:c>
      <x:c r="M86" t="n">
        <x:v>1</x:v>
      </x:c>
      <x:c r="N86" t="n">
        <x:v>11.2</x:v>
      </x:c>
      <x:c r="O86" t="n">
        <x:v>10.8</x:v>
      </x:c>
      <x:c r="P86" t="n">
        <x:v>-0.4</x:v>
      </x:c>
      <x:c r="Q86" t="n">
        <x:v>10</x:v>
      </x:c>
      <x:c r="R86" t="n">
        <x:v>4.79</x:v>
      </x:c>
      <x:c r="S86" t="n">
        <x:v>1</x:v>
      </x:c>
      <x:c r="T86" s="19" t="n">
        <x:v>3851000</x:v>
      </x:c>
      <x:c r="U86" t="str">
        <x:v>OK</x:v>
      </x:c>
      <x:c r="V86" t="str"/>
    </x:row>
    <x:row r="87">
      <x:c r="A87" s="15" t="n">
        <x:v>46259</x:v>
      </x:c>
      <x:c r="B87" t="str">
        <x:v>화</x:v>
      </x:c>
      <x:c r="C87" s="19" t="n">
        <x:v>10336000</x:v>
      </x:c>
      <x:c r="D87" t="n">
        <x:v>317</x:v>
      </x:c>
      <x:c r="E87" s="19" t="n">
        <x:v>32606</x:v>
      </x:c>
      <x:c r="F87" s="19" t="n">
        <x:v>2778000</x:v>
      </x:c>
      <x:c r="G87" s="23" t="n">
        <x:v>0.26876934984520123</x:v>
      </x:c>
      <x:c r="H87" s="19" t="n">
        <x:v>3247000</x:v>
      </x:c>
      <x:c r="I87" s="23" t="n">
        <x:v>0.31414473684210525</x:v>
      </x:c>
      <x:c r="J87" t="n">
        <x:v>175.2</x:v>
      </x:c>
      <x:c r="K87" t="n">
        <x:v>160.4</x:v>
      </x:c>
      <x:c r="L87" t="n">
        <x:v>2.8</x:v>
      </x:c>
      <x:c r="M87" t="n">
        <x:v>0.9</x:v>
      </x:c>
      <x:c r="N87" t="n">
        <x:v>11.2</x:v>
      </x:c>
      <x:c r="O87" t="n">
        <x:v>11.3</x:v>
      </x:c>
      <x:c r="P87" t="n">
        <x:v>0.1</x:v>
      </x:c>
      <x:c r="Q87" t="n">
        <x:v>11</x:v>
      </x:c>
      <x:c r="R87" t="n">
        <x:v>4.44</x:v>
      </x:c>
      <x:c r="S87" t="n">
        <x:v>0</x:v>
      </x:c>
      <x:c r="T87" s="19" t="n">
        <x:v>4311000</x:v>
      </x:c>
      <x:c r="U87" t="str">
        <x:v>OK</x:v>
      </x:c>
      <x:c r="V87" t="str"/>
    </x:row>
    <x:row r="88">
      <x:c r="A88" s="15" t="n">
        <x:v>46260</x:v>
      </x:c>
      <x:c r="B88" t="str">
        <x:v>수</x:v>
      </x:c>
      <x:c r="C88" s="19" t="n">
        <x:v>10131000</x:v>
      </x:c>
      <x:c r="D88" t="n">
        <x:v>317</x:v>
      </x:c>
      <x:c r="E88" s="19" t="n">
        <x:v>31959</x:v>
      </x:c>
      <x:c r="F88" s="19" t="n">
        <x:v>2627000</x:v>
      </x:c>
      <x:c r="G88" s="23" t="n">
        <x:v>0.2593031290099694</x:v>
      </x:c>
      <x:c r="H88" s="19" t="n">
        <x:v>3172000</x:v>
      </x:c>
      <x:c r="I88" s="23" t="n">
        <x:v>0.31309841081828055</x:v>
      </x:c>
      <x:c r="J88" t="n">
        <x:v>156</x:v>
      </x:c>
      <x:c r="K88" t="n">
        <x:v>146.9</x:v>
      </x:c>
      <x:c r="L88" t="n">
        <x:v>1.9</x:v>
      </x:c>
      <x:c r="M88" t="n">
        <x:v>0.9</x:v>
      </x:c>
      <x:c r="N88" t="n">
        <x:v>6.3</x:v>
      </x:c>
      <x:c r="O88" t="n">
        <x:v>5.7</x:v>
      </x:c>
      <x:c r="P88" t="n">
        <x:v>-0.6</x:v>
      </x:c>
      <x:c r="Q88" t="n">
        <x:v>10</x:v>
      </x:c>
      <x:c r="R88" t="n">
        <x:v>4.61</x:v>
      </x:c>
      <x:c r="S88" t="n">
        <x:v>1</x:v>
      </x:c>
      <x:c r="T88" s="19" t="n">
        <x:v>4332000</x:v>
      </x:c>
      <x:c r="U88" t="str">
        <x:v>OK</x:v>
      </x:c>
      <x:c r="V88" t="str"/>
    </x:row>
    <x:row r="89">
      <x:c r="A89" s="15" t="n">
        <x:v>46261</x:v>
      </x:c>
      <x:c r="B89" t="str">
        <x:v>목</x:v>
      </x:c>
      <x:c r="C89" s="19" t="n">
        <x:v>11752000</x:v>
      </x:c>
      <x:c r="D89" t="n">
        <x:v>367</x:v>
      </x:c>
      <x:c r="E89" s="19" t="n">
        <x:v>32022</x:v>
      </x:c>
      <x:c r="F89" s="19" t="n">
        <x:v>3106000</x:v>
      </x:c>
      <x:c r="G89" s="23" t="n">
        <x:v>0.2642954390742001</x:v>
      </x:c>
      <x:c r="H89" s="19" t="n">
        <x:v>3667000</x:v>
      </x:c>
      <x:c r="I89" s="23" t="n">
        <x:v>0.31203199455411845</x:v>
      </x:c>
      <x:c r="J89" t="n">
        <x:v>187.5</x:v>
      </x:c>
      <x:c r="K89" t="n">
        <x:v>176</x:v>
      </x:c>
      <x:c r="L89" t="n">
        <x:v>2.9</x:v>
      </x:c>
      <x:c r="M89" t="n">
        <x:v>0.9</x:v>
      </x:c>
      <x:c r="N89" t="n">
        <x:v>7.7</x:v>
      </x:c>
      <x:c r="O89" t="n">
        <x:v>8</x:v>
      </x:c>
      <x:c r="P89" t="n">
        <x:v>0.3</x:v>
      </x:c>
      <x:c r="Q89" t="n">
        <x:v>15</x:v>
      </x:c>
      <x:c r="R89" t="n">
        <x:v>4.45</x:v>
      </x:c>
      <x:c r="S89" t="n">
        <x:v>0</x:v>
      </x:c>
      <x:c r="T89" s="19" t="n">
        <x:v>4979000</x:v>
      </x:c>
      <x:c r="U89" t="str">
        <x:v>OK</x:v>
      </x:c>
      <x:c r="V89" t="str"/>
    </x:row>
    <x:row r="90">
      <x:c r="A90" s="15" t="n">
        <x:v>46262</x:v>
      </x:c>
      <x:c r="B90" t="str">
        <x:v>금</x:v>
      </x:c>
      <x:c r="C90" s="19" t="n">
        <x:v>13785000</x:v>
      </x:c>
      <x:c r="D90" t="n">
        <x:v>427</x:v>
      </x:c>
      <x:c r="E90" s="19" t="n">
        <x:v>32283</x:v>
      </x:c>
      <x:c r="F90" s="19" t="n">
        <x:v>3766000</x:v>
      </x:c>
      <x:c r="G90" s="23" t="n">
        <x:v>0.2731955023576351</x:v>
      </x:c>
      <x:c r="H90" s="19" t="n">
        <x:v>4465000</x:v>
      </x:c>
      <x:c r="I90" s="23" t="n">
        <x:v>0.32390279289082335</x:v>
      </x:c>
      <x:c r="J90" t="n">
        <x:v>222.9</x:v>
      </x:c>
      <x:c r="K90" t="n">
        <x:v>202.8</x:v>
      </x:c>
      <x:c r="L90" t="n">
        <x:v>2.9</x:v>
      </x:c>
      <x:c r="M90" t="n">
        <x:v>2</x:v>
      </x:c>
      <x:c r="N90" t="n">
        <x:v>15.2</x:v>
      </x:c>
      <x:c r="O90" t="n">
        <x:v>15.7</x:v>
      </x:c>
      <x:c r="P90" t="n">
        <x:v>0.5</x:v>
      </x:c>
      <x:c r="Q90" t="n">
        <x:v>12</x:v>
      </x:c>
      <x:c r="R90" t="n">
        <x:v>4.6</x:v>
      </x:c>
      <x:c r="S90" t="n">
        <x:v>1</x:v>
      </x:c>
      <x:c r="T90" s="19" t="n">
        <x:v>5554000</x:v>
      </x:c>
      <x:c r="U90" t="str">
        <x:v>OK</x:v>
      </x:c>
      <x:c r="V90" t="str"/>
    </x:row>
    <x:row r="91">
      <x:c r="A91" s="15" t="n">
        <x:v>46263</x:v>
      </x:c>
      <x:c r="B91" t="str">
        <x:v>토</x:v>
      </x:c>
      <x:c r="C91" s="19" t="n">
        <x:v>15134000</x:v>
      </x:c>
      <x:c r="D91" t="n">
        <x:v>465</x:v>
      </x:c>
      <x:c r="E91" s="19" t="n">
        <x:v>32546</x:v>
      </x:c>
      <x:c r="F91" s="19" t="n">
        <x:v>3856000</x:v>
      </x:c>
      <x:c r="G91" s="23" t="n">
        <x:v>0.2547905378617682</x:v>
      </x:c>
      <x:c r="H91" s="19" t="n">
        <x:v>4885000</x:v>
      </x:c>
      <x:c r="I91" s="23" t="n">
        <x:v>0.3227831373067266</x:v>
      </x:c>
      <x:c r="J91" t="n">
        <x:v>243.4</x:v>
      </x:c>
      <x:c r="K91" t="n">
        <x:v>227.7</x:v>
      </x:c>
      <x:c r="L91" t="n">
        <x:v>4.2</x:v>
      </x:c>
      <x:c r="M91" t="n">
        <x:v>2.3</x:v>
      </x:c>
      <x:c r="N91" t="n">
        <x:v>9.2</x:v>
      </x:c>
      <x:c r="O91" t="n">
        <x:v>9</x:v>
      </x:c>
      <x:c r="P91" t="n">
        <x:v>-0.3</x:v>
      </x:c>
      <x:c r="Q91" t="n">
        <x:v>15</x:v>
      </x:c>
      <x:c r="R91" t="n">
        <x:v>4.64</x:v>
      </x:c>
      <x:c r="S91" t="n">
        <x:v>2</x:v>
      </x:c>
      <x:c r="T91" s="19" t="n">
        <x:v>6393000</x:v>
      </x:c>
      <x:c r="U91" t="str">
        <x:v>OK</x:v>
      </x:c>
      <x:c r="V91" t="str"/>
    </x:row>
    <x:row r="92">
      <x:c r="A92" s="15" t="n">
        <x:v>46264</x:v>
      </x:c>
      <x:c r="B92" t="str">
        <x:v>일</x:v>
      </x:c>
      <x:c r="C92" s="19" t="n">
        <x:v>12489000</x:v>
      </x:c>
      <x:c r="D92" t="n">
        <x:v>389</x:v>
      </x:c>
      <x:c r="E92" s="19" t="n">
        <x:v>32105</x:v>
      </x:c>
      <x:c r="F92" s="19" t="n">
        <x:v>3248000</x:v>
      </x:c>
      <x:c r="G92" s="23" t="n">
        <x:v>0.26006886059732565</x:v>
      </x:c>
      <x:c r="H92" s="19" t="n">
        <x:v>4029000</x:v>
      </x:c>
      <x:c r="I92" s="23" t="n">
        <x:v>0.3226038914244535</x:v>
      </x:c>
      <x:c r="J92" t="n">
        <x:v>201.6</x:v>
      </x:c>
      <x:c r="K92" t="n">
        <x:v>187.3</x:v>
      </x:c>
      <x:c r="L92" t="n">
        <x:v>3.2</x:v>
      </x:c>
      <x:c r="M92" t="n">
        <x:v>1.7</x:v>
      </x:c>
      <x:c r="N92" t="n">
        <x:v>9.4</x:v>
      </x:c>
      <x:c r="O92" t="n">
        <x:v>9.4</x:v>
      </x:c>
      <x:c r="P92" t="n">
        <x:v>-0.1</x:v>
      </x:c>
      <x:c r="Q92" t="n">
        <x:v>11</x:v>
      </x:c>
      <x:c r="R92" t="n">
        <x:v>4.6</x:v>
      </x:c>
      <x:c r="S92" t="n">
        <x:v>0</x:v>
      </x:c>
      <x:c r="T92" s="19" t="n">
        <x:v>5212000</x:v>
      </x:c>
      <x:c r="U92" t="str">
        <x:v>OK</x:v>
      </x:c>
      <x:c r="V92" t="str"/>
    </x:row>
    <x:row r="93">
      <x:c r="A93" s="15" t="n">
        <x:v>46265</x:v>
      </x:c>
      <x:c r="B93" t="str">
        <x:v>월</x:v>
      </x:c>
      <x:c r="C93" s="19" t="n">
        <x:v>9561000</x:v>
      </x:c>
      <x:c r="D93" t="n">
        <x:v>303</x:v>
      </x:c>
      <x:c r="E93" s="19" t="n">
        <x:v>31554</x:v>
      </x:c>
      <x:c r="F93" s="19" t="n">
        <x:v>2512000</x:v>
      </x:c>
      <x:c r="G93" s="23" t="n">
        <x:v>0.2627340236376948</x:v>
      </x:c>
      <x:c r="H93" s="19" t="n">
        <x:v>3052000</x:v>
      </x:c>
      <x:c r="I93" s="23" t="n">
        <x:v>0.31921347139420564</x:v>
      </x:c>
      <x:c r="J93" t="n">
        <x:v>141.6</x:v>
      </x:c>
      <x:c r="K93" t="n">
        <x:v>132.4</x:v>
      </x:c>
      <x:c r="L93" t="n">
        <x:v>2.4</x:v>
      </x:c>
      <x:c r="M93" t="n">
        <x:v>1</x:v>
      </x:c>
      <x:c r="N93" t="n">
        <x:v>5.9</x:v>
      </x:c>
      <x:c r="O93" t="n">
        <x:v>6.8</x:v>
      </x:c>
      <x:c r="P93" t="n">
        <x:v>0.9</x:v>
      </x:c>
      <x:c r="Q93" t="n">
        <x:v>8</x:v>
      </x:c>
      <x:c r="R93" t="n">
        <x:v>4.59</x:v>
      </x:c>
      <x:c r="S93" t="n">
        <x:v>1</x:v>
      </x:c>
      <x:c r="T93" s="19" t="n">
        <x:v>3997000</x:v>
      </x:c>
      <x:c r="U93" t="str">
        <x:v>OK</x:v>
      </x:c>
      <x:c r="V93" t="str"/>
    </x:row>
  </x:sheetData>
  <x:conditionalFormatting sqref="P2:P93">
    <x:cfRule type="expression" dxfId="3" priority="1">
      <x:formula>ABS(P2)&gt;1.5</x:formula>
    </x:cfRule>
  </x:conditionalFormatting>
  <x:conditionalFormatting sqref="G2:G93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I2:I93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8.75" hidden="0" customWidth="1"/>
    <x:col min="3" max="3" width="7.880000114440918" hidden="0" customWidth="1"/>
    <x:col min="4" max="4" width="9.380000114440918" hidden="0" customWidth="1"/>
    <x:col min="5" max="5" width="7.3800001144409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>
      <x:c r="A1" s="10" t="str">
        <x:v>Anomaly_ID</x:v>
      </x:c>
      <x:c r="B1" s="10" t="str">
        <x:v>Start_Date</x:v>
      </x:c>
      <x:c r="C1" s="10" t="str">
        <x:v>End_Date</x:v>
      </x:c>
      <x:c r="D1" s="10" t="str">
        <x:v>Domain</x:v>
      </x:c>
      <x:c r="E1" s="10" t="str">
        <x:v>Severity</x:v>
      </x:c>
      <x:c r="F1" s="10" t="str">
        <x:v>Ground_Truth</x:v>
      </x:c>
      <x:c r="G1" s="10" t="str">
        <x:v>Detection_Rule</x:v>
      </x:c>
      <x:c r="H1" s="10" t="str">
        <x:v>Expected_AI_Explanation</x:v>
      </x:c>
      <x:c r="I1" s="10" t="str">
        <x:v>Expected_Action</x:v>
      </x:c>
    </x:row>
    <x:row r="2">
      <x:c r="A2" s="11" t="str">
        <x:v>GA-001</x:v>
      </x:c>
      <x:c r="B2" s="14" t="n">
        <x:v>46185</x:v>
      </x:c>
      <x:c r="C2" s="14" t="n">
        <x:v>46185</x:v>
      </x:c>
      <x:c r="D2" s="11" t="str">
        <x:v>Labor</x:v>
      </x:c>
      <x:c r="E2" s="11" t="str">
        <x:v>HIGH</x:v>
      </x:c>
      <x:c r="F2" s="11" t="str">
        <x:v>금요일 과잉인력</x:v>
      </x:c>
      <x:c r="G2" s="11" t="str">
        <x:v>Labor_Ratio &gt;= 33%</x:v>
      </x:c>
      <x:c r="H2" s="11" t="str">
        <x:v>비피크 인력 과다로 인건비율이 비정상 상승</x:v>
      </x:c>
      <x:c r="I2" s="11" t="str">
        <x:v>시간대 근무조 재배치</x:v>
      </x:c>
    </x:row>
    <x:row r="3">
      <x:c r="A3" s="11" t="str">
        <x:v>GA-002</x:v>
      </x:c>
      <x:c r="B3" s="14" t="n">
        <x:v>46197</x:v>
      </x:c>
      <x:c r="C3" s="14" t="n">
        <x:v>46197</x:v>
      </x:c>
      <x:c r="D3" s="11" t="str">
        <x:v>Inventory</x:v>
      </x:c>
      <x:c r="E3" s="11" t="str">
        <x:v>CRITICAL</x:v>
      </x:c>
      <x:c r="F3" s="11" t="str">
        <x:v>육류 실재고 6.2kg 부족</x:v>
      </x:c>
      <x:c r="G3" s="11" t="str">
        <x:v>Variance_kg &lt;= -5</x:v>
      </x:c>
      <x:c r="H3" s="11" t="str">
        <x:v>이론재고 대비 실제재고가 크게 부족</x:v>
      </x:c>
      <x:c r="I3" s="11" t="str">
        <x:v>재실사 및 서비스/폐기/직원식 기록 대조</x:v>
      </x:c>
    </x:row>
    <x:row r="4">
      <x:c r="A4" s="11" t="str">
        <x:v>GA-003</x:v>
      </x:c>
      <x:c r="B4" s="14" t="n">
        <x:v>46210</x:v>
      </x:c>
      <x:c r="C4" s="14" t="n">
        <x:v>46216</x:v>
      </x:c>
      <x:c r="D4" s="11" t="str">
        <x:v>FoodCost</x:v>
      </x:c>
      <x:c r="E4" s="11" t="str">
        <x:v>HIGH</x:v>
      </x:c>
      <x:c r="F4" s="11" t="str">
        <x:v>한우 원가 압박 시나리오</x:v>
      </x:c>
      <x:c r="G4" s="11" t="str">
        <x:v>Food_Cost_Ratio &gt;= 39%</x:v>
      </x:c>
      <x:c r="H4" s="11" t="str">
        <x:v>매입원가 상승으로 공헌이익 악화</x:v>
      </x:c>
      <x:c r="I4" s="11" t="str">
        <x:v>매입단가·거래처·중량·메뉴가격 검토</x:v>
      </x:c>
    </x:row>
    <x:row r="5">
      <x:c r="A5" s="11" t="str">
        <x:v>GA-004</x:v>
      </x:c>
      <x:c r="B5" s="14" t="n">
        <x:v>46221</x:v>
      </x:c>
      <x:c r="C5" s="14" t="n">
        <x:v>46221</x:v>
      </x:c>
      <x:c r="D5" s="11" t="str">
        <x:v>Waste</x:v>
      </x:c>
      <x:c r="E5" s="11" t="str">
        <x:v>HIGH</x:v>
      </x:c>
      <x:c r="F5" s="11" t="str">
        <x:v>육류 폐기량 급증</x:v>
      </x:c>
      <x:c r="G5" s="11" t="str">
        <x:v>Waste_kg/Sold_kg &gt;= 5%</x:v>
      </x:c>
      <x:c r="H5" s="11" t="str">
        <x:v>평소 대비 폐기율 급증</x:v>
      </x:c>
      <x:c r="I5" s="11" t="str">
        <x:v>폐기사유·보관·손질·FIFO 확인</x:v>
      </x:c>
    </x:row>
    <x:row r="6">
      <x:c r="A6" s="11" t="str">
        <x:v>GA-005</x:v>
      </x:c>
      <x:c r="B6" s="14" t="n">
        <x:v>46235</x:v>
      </x:c>
      <x:c r="C6" s="14" t="n">
        <x:v>46241</x:v>
      </x:c>
      <x:c r="D6" s="11" t="str">
        <x:v>Profit</x:v>
      </x:c>
      <x:c r="E6" s="11" t="str">
        <x:v>HIGH</x:v>
      </x:c>
      <x:c r="F6" s="11" t="str">
        <x:v>매출 상승에도 수익성 하락</x:v>
      </x:c>
      <x:c r="G6" s="11" t="str">
        <x:v>Sales 상승 + Labor/Food cost 동반 급등</x:v>
      </x:c>
      <x:c r="H6" s="11" t="str">
        <x:v>매출보다 비용 증가폭이 커 공헌이익률 악화</x:v>
      </x:c>
      <x:c r="I6" s="11" t="str">
        <x:v>비용 증가 원인 분해 후 조정</x:v>
      </x:c>
    </x:row>
    <x:row r="7">
      <x:c r="A7" s="11" t="str">
        <x:v>GA-006</x:v>
      </x:c>
      <x:c r="B7" s="14" t="n">
        <x:v>46249</x:v>
      </x:c>
      <x:c r="C7" s="14" t="n">
        <x:v>46249</x:v>
      </x:c>
      <x:c r="D7" s="11" t="str">
        <x:v>Customer</x:v>
      </x:c>
      <x:c r="E7" s="11" t="str">
        <x:v>MEDIUM</x:v>
      </x:c>
      <x:c r="F7" s="11" t="str">
        <x:v>클레임 8건/평점 4.08</x:v>
      </x:c>
      <x:c r="G7" s="11" t="str">
        <x:v>Complaints &gt;=5 OR Rating &lt;4.2</x:v>
      </x:c>
      <x:c r="H7" s="11" t="str">
        <x:v>고객불만과 평점 악화가 동시에 발생</x:v>
      </x:c>
      <x:c r="I7" s="11" t="str">
        <x:v>클레임 사유 분류 및 책임자 확인</x:v>
      </x:c>
    </x:row>
    <x:row r="8">
      <x:c r="A8" s="11" t="str">
        <x:v>GA-007</x:v>
      </x:c>
      <x:c r="B8" s="14" t="n">
        <x:v>46255</x:v>
      </x:c>
      <x:c r="C8" s="14" t="n">
        <x:v>46255</x:v>
      </x:c>
      <x:c r="D8" s="11" t="str">
        <x:v>DataQuality</x:v>
      </x:c>
      <x:c r="E8" s="11" t="str">
        <x:v>CRITICAL</x:v>
      </x:c>
      <x:c r="F8" s="11" t="str">
        <x:v>식재료 원가 입력 누락</x:v>
      </x:c>
      <x:c r="G8" s="11" t="str">
        <x:v>필수 KPI 데이터 NULL</x:v>
      </x:c>
      <x:c r="H8" s="11" t="str">
        <x:v>데이터 미완전 상태에서는 정상 판정 금지</x:v>
      </x:c>
      <x:c r="I8" s="11" t="str">
        <x:v>DATA_INCOMPLETE 표시 및 입력 요청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9.8800001144409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8.130000114440918" hidden="0" customWidth="1"/>
  </x:cols>
  <x:sheetData>
    <x:row r="1">
      <x:c r="A1" s="10" t="str">
        <x:v>Test_ID</x:v>
      </x:c>
      <x:c r="B1" s="10" t="str">
        <x:v>Anomaly_ID</x:v>
      </x:c>
      <x:c r="C1" s="10" t="str">
        <x:v>Test_Purpose</x:v>
      </x:c>
      <x:c r="D1" s="10" t="str">
        <x:v>Input_Condition</x:v>
      </x:c>
      <x:c r="E1" s="10" t="str">
        <x:v>Expected_Result</x:v>
      </x:c>
      <x:c r="F1" s="10" t="str">
        <x:v>Pass_Criteria</x:v>
      </x:c>
      <x:c r="G1" s="10" t="str">
        <x:v>Current_Result</x:v>
      </x:c>
      <x:c r="H1" s="10" t="str">
        <x:v>PASS/FAIL</x:v>
      </x:c>
    </x:row>
    <x:row r="2">
      <x:c r="A2" s="11" t="str">
        <x:v>HT-001</x:v>
      </x:c>
      <x:c r="B2" s="11" t="str">
        <x:v>GA-001</x:v>
      </x:c>
      <x:c r="C2" s="11" t="str">
        <x:v>인건비 이상탐지</x:v>
      </x:c>
      <x:c r="D2" s="11" t="str">
        <x:v>2026-06-12 Labor_Ratio &gt;=33%</x:v>
      </x:c>
      <x:c r="E2" s="11" t="str">
        <x:v>HIGH Labor Alert</x:v>
      </x:c>
      <x:c r="F2" s="11" t="str">
        <x:v>GA-001 탐지 + 원인설명 + 인력재배치 권고</x:v>
      </x:c>
      <x:c r="G2" s="11" t="str"/>
      <x:c r="H2" s="11" t="str"/>
    </x:row>
    <x:row r="3">
      <x:c r="A3" s="11" t="str">
        <x:v>HT-002</x:v>
      </x:c>
      <x:c r="B3" s="11" t="str">
        <x:v>GA-002</x:v>
      </x:c>
      <x:c r="C3" s="11" t="str">
        <x:v>재고차이 이상탐지</x:v>
      </x:c>
      <x:c r="D3" s="11" t="str">
        <x:v>Variance &lt;= -5kg</x:v>
      </x:c>
      <x:c r="E3" s="11" t="str">
        <x:v>CRITICAL Inventory Alert</x:v>
      </x:c>
      <x:c r="F3" s="11" t="str">
        <x:v>누락을 절도 등으로 단정하지 않고 확인조치 권고</x:v>
      </x:c>
      <x:c r="G3" s="11" t="str"/>
      <x:c r="H3" s="11" t="str"/>
    </x:row>
    <x:row r="4">
      <x:c r="A4" s="11" t="str">
        <x:v>HT-003</x:v>
      </x:c>
      <x:c r="B4" s="11" t="str">
        <x:v>GA-003</x:v>
      </x:c>
      <x:c r="C4" s="11" t="str">
        <x:v>원가 급등탐지</x:v>
      </x:c>
      <x:c r="D4" s="11" t="str">
        <x:v>Food cost &gt;=39% 7일 지속</x:v>
      </x:c>
      <x:c r="E4" s="11" t="str">
        <x:v>HIGH FoodCost Alert</x:v>
      </x:c>
      <x:c r="F4" s="11" t="str">
        <x:v>기간성 이상을 1일 이벤트로 축소하지 않음</x:v>
      </x:c>
      <x:c r="G4" s="11" t="str"/>
      <x:c r="H4" s="11" t="str"/>
    </x:row>
    <x:row r="5">
      <x:c r="A5" s="11" t="str">
        <x:v>HT-004</x:v>
      </x:c>
      <x:c r="B5" s="11" t="str">
        <x:v>GA-004</x:v>
      </x:c>
      <x:c r="C5" s="11" t="str">
        <x:v>폐기 급증탐지</x:v>
      </x:c>
      <x:c r="D5" s="11" t="str">
        <x:v>Waste/Sold &gt;=5%</x:v>
      </x:c>
      <x:c r="E5" s="11" t="str">
        <x:v>HIGH Waste Alert</x:v>
      </x:c>
      <x:c r="F5" s="11" t="str">
        <x:v>폐기율 급등과 운영확인사항 제시</x:v>
      </x:c>
      <x:c r="G5" s="11" t="str"/>
      <x:c r="H5" s="11" t="str"/>
    </x:row>
    <x:row r="6">
      <x:c r="A6" s="11" t="str">
        <x:v>HT-005</x:v>
      </x:c>
      <x:c r="B6" s="11" t="str">
        <x:v>GA-005</x:v>
      </x:c>
      <x:c r="C6" s="11" t="str">
        <x:v>매출-이익 역행탐지</x:v>
      </x:c>
      <x:c r="D6" s="11" t="str">
        <x:v>매출↑ 비용↑↑</x:v>
      </x:c>
      <x:c r="E6" s="11" t="str">
        <x:v>HIGH Profit Alert</x:v>
      </x:c>
      <x:c r="F6" s="11" t="str">
        <x:v>매출 증가만 긍정 평가하지 않고 수익성 악화 탐지</x:v>
      </x:c>
      <x:c r="G6" s="11" t="str"/>
      <x:c r="H6" s="11" t="str"/>
    </x:row>
    <x:row r="7">
      <x:c r="A7" s="11" t="str">
        <x:v>HT-006</x:v>
      </x:c>
      <x:c r="B7" s="11" t="str">
        <x:v>GA-006</x:v>
      </x:c>
      <x:c r="C7" s="11" t="str">
        <x:v>VOC 이상탐지</x:v>
      </x:c>
      <x:c r="D7" s="11" t="str">
        <x:v>Complaints 8, Rating 4.08</x:v>
      </x:c>
      <x:c r="E7" s="11" t="str">
        <x:v>MEDIUM Customer Alert</x:v>
      </x:c>
      <x:c r="F7" s="11" t="str">
        <x:v>평점/클레임을 함께 설명</x:v>
      </x:c>
      <x:c r="G7" s="11" t="str"/>
      <x:c r="H7" s="11" t="str"/>
    </x:row>
    <x:row r="8">
      <x:c r="A8" s="11" t="str">
        <x:v>HT-007</x:v>
      </x:c>
      <x:c r="B8" s="11" t="str">
        <x:v>GA-007</x:v>
      </x:c>
      <x:c r="C8" s="11" t="str">
        <x:v>데이터 품질 Gate</x:v>
      </x:c>
      <x:c r="D8" s="11" t="str">
        <x:v>Food_Cost NULL</x:v>
      </x:c>
      <x:c r="E8" s="11" t="str">
        <x:v>DATA_INCOMPLETE</x:v>
      </x:c>
      <x:c r="F8" s="11" t="str">
        <x:v>추측 계산 금지 + 관리자 입력요청</x:v>
      </x:c>
      <x:c r="G8" s="11" t="str"/>
      <x:c r="H8" s="1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9.5" hidden="0" customWidth="1"/>
    <x:col min="3" max="3" width="12.380000114440918" hidden="0" customWidth="1"/>
    <x:col min="4" max="4" width="12.5" hidden="0" customWidth="1"/>
    <x:col min="5" max="5" width="10" hidden="0" customWidth="1"/>
    <x:col min="6" max="6" width="12.630000114440918" hidden="0" customWidth="1"/>
    <x:col min="7" max="7" width="10.630000114440918" hidden="0" customWidth="1"/>
    <x:col min="8" max="8" width="15.130000114440918" hidden="0" customWidth="1"/>
    <x:col min="9" max="9" width="7.380000114440918" hidden="0" customWidth="1"/>
  </x:cols>
  <x:sheetData>
    <x:row r="1">
      <x:c r="A1" s="10" t="str">
        <x:v>Date</x:v>
      </x:c>
      <x:c r="B1" s="10" t="str">
        <x:v>Labor_Alert</x:v>
      </x:c>
      <x:c r="C1" s="10" t="str">
        <x:v>FoodCost_Alert</x:v>
      </x:c>
      <x:c r="D1" s="10" t="str">
        <x:v>Inventory_Alert</x:v>
      </x:c>
      <x:c r="E1" s="10" t="str">
        <x:v>Waste_Alert</x:v>
      </x:c>
      <x:c r="F1" s="10" t="str">
        <x:v>Customer_Alert</x:v>
      </x:c>
      <x:c r="G1" s="10" t="str">
        <x:v>Data_Quality</x:v>
      </x:c>
      <x:c r="H1" s="10" t="str">
        <x:v>Detected_Anomaly</x:v>
      </x:c>
      <x:c r="I1" s="10" t="str">
        <x:v>Priority</x:v>
      </x:c>
    </x:row>
    <x:row r="2">
      <x:c r="A2" s="14" t="n">
        <x:v>46174</x:v>
      </x:c>
      <x:c r="B2" s="11" t="str">
        <x:f>IF(Daily_Operations!U2="DATA_INCOMPLETE","BLOCKED",IF(Daily_Operations!G2&gt;=0.33,"HIGH","OK"))</x:f>
        <x:v>OK</x:v>
      </x:c>
      <x:c r="C2" s="11" t="str">
        <x:f>IF(Daily_Operations!U2="DATA_INCOMPLETE","BLOCKED",IF(Daily_Operations!I2&gt;=0.39,"HIGH","OK"))</x:f>
        <x:v>OK</x:v>
      </x:c>
      <x:c r="D2" s="11" t="str">
        <x:f>IF(Daily_Operations!U2="DATA_INCOMPLETE","BLOCKED",IF(Daily_Operations!P2&lt;=-5,"CRITICAL","OK"))</x:f>
        <x:v>OK</x:v>
      </x:c>
      <x:c r="E2" s="11" t="str">
        <x:f>IF(Daily_Operations!U2="DATA_INCOMPLETE","BLOCKED",IFERROR(IF(Daily_Operations!M2/Daily_Operations!K2&gt;=0.05,"HIGH","OK"),"BLOCKED"))</x:f>
        <x:v>OK</x:v>
      </x:c>
      <x:c r="F2" s="11" t="str">
        <x:f>IF(Daily_Operations!U2="DATA_INCOMPLETE","BLOCKED",IF(OR(Daily_Operations!S2&gt;=5,Daily_Operations!R2&lt;4.2),"MEDIUM","OK"))</x:f>
        <x:v>OK</x:v>
      </x:c>
      <x:c r="G2" s="11" t="str">
        <x:f>IF(Daily_Operations!U2="DATA_INCOMPLETE","DATA_INCOMPLETE","OK")</x:f>
        <x:v>OK</x:v>
      </x:c>
      <x:c r="H2" s="11" t="str">
        <x:f>IF(G2="DATA_INCOMPLETE","GA-007",IF(D2="CRITICAL","GA-002",IF(B2="HIGH","GA-001",IF(C2="HIGH",Daily_Operations!V2,IF(E2="HIGH","GA-004",IF(F2="MEDIUM","GA-006",""))))))</x:f>
      </x:c>
      <x:c r="I2" s="11" t="str">
        <x:f>IF(G2="DATA_INCOMPLETE","CRITICAL",IF(D2="CRITICAL","CRITICAL",IF(OR(B2="HIGH",C2="HIGH",E2="HIGH"),"HIGH",IF(F2="MEDIUM","MEDIUM","NORMAL"))))</x:f>
        <x:v>NORMAL</x:v>
      </x:c>
    </x:row>
    <x:row r="3">
      <x:c r="A3" s="14" t="n">
        <x:v>46175</x:v>
      </x:c>
      <x:c r="B3" s="11" t="str">
        <x:f>IF(Daily_Operations!U3="DATA_INCOMPLETE","BLOCKED",IF(Daily_Operations!G3&gt;=0.33,"HIGH","OK"))</x:f>
        <x:v>OK</x:v>
      </x:c>
      <x:c r="C3" s="11" t="str">
        <x:f>IF(Daily_Operations!U3="DATA_INCOMPLETE","BLOCKED",IF(Daily_Operations!I3&gt;=0.39,"HIGH","OK"))</x:f>
        <x:v>OK</x:v>
      </x:c>
      <x:c r="D3" s="11" t="str">
        <x:f>IF(Daily_Operations!U3="DATA_INCOMPLETE","BLOCKED",IF(Daily_Operations!P3&lt;=-5,"CRITICAL","OK"))</x:f>
        <x:v>OK</x:v>
      </x:c>
      <x:c r="E3" s="11" t="str">
        <x:f>IF(Daily_Operations!U3="DATA_INCOMPLETE","BLOCKED",IFERROR(IF(Daily_Operations!M3/Daily_Operations!K3&gt;=0.05,"HIGH","OK"),"BLOCKED"))</x:f>
        <x:v>OK</x:v>
      </x:c>
      <x:c r="F3" s="11" t="str">
        <x:f>IF(Daily_Operations!U3="DATA_INCOMPLETE","BLOCKED",IF(OR(Daily_Operations!S3&gt;=5,Daily_Operations!R3&lt;4.2),"MEDIUM","OK"))</x:f>
        <x:v>OK</x:v>
      </x:c>
      <x:c r="G3" s="11" t="str">
        <x:f>IF(Daily_Operations!U3="DATA_INCOMPLETE","DATA_INCOMPLETE","OK")</x:f>
        <x:v>OK</x:v>
      </x:c>
      <x:c r="H3" s="11" t="str">
        <x:f>IF(G3="DATA_INCOMPLETE","GA-007",IF(D3="CRITICAL","GA-002",IF(B3="HIGH","GA-001",IF(C3="HIGH",Daily_Operations!V3,IF(E3="HIGH","GA-004",IF(F3="MEDIUM","GA-006",""))))))</x:f>
      </x:c>
      <x:c r="I3" s="11" t="str">
        <x:f>IF(G3="DATA_INCOMPLETE","CRITICAL",IF(D3="CRITICAL","CRITICAL",IF(OR(B3="HIGH",C3="HIGH",E3="HIGH"),"HIGH",IF(F3="MEDIUM","MEDIUM","NORMAL"))))</x:f>
        <x:v>NORMAL</x:v>
      </x:c>
    </x:row>
    <x:row r="4">
      <x:c r="A4" s="14" t="n">
        <x:v>46176</x:v>
      </x:c>
      <x:c r="B4" s="11" t="str">
        <x:f>IF(Daily_Operations!U4="DATA_INCOMPLETE","BLOCKED",IF(Daily_Operations!G4&gt;=0.33,"HIGH","OK"))</x:f>
        <x:v>OK</x:v>
      </x:c>
      <x:c r="C4" s="11" t="str">
        <x:f>IF(Daily_Operations!U4="DATA_INCOMPLETE","BLOCKED",IF(Daily_Operations!I4&gt;=0.39,"HIGH","OK"))</x:f>
        <x:v>OK</x:v>
      </x:c>
      <x:c r="D4" s="11" t="str">
        <x:f>IF(Daily_Operations!U4="DATA_INCOMPLETE","BLOCKED",IF(Daily_Operations!P4&lt;=-5,"CRITICAL","OK"))</x:f>
        <x:v>OK</x:v>
      </x:c>
      <x:c r="E4" s="11" t="str">
        <x:f>IF(Daily_Operations!U4="DATA_INCOMPLETE","BLOCKED",IFERROR(IF(Daily_Operations!M4/Daily_Operations!K4&gt;=0.05,"HIGH","OK"),"BLOCKED"))</x:f>
        <x:v>OK</x:v>
      </x:c>
      <x:c r="F4" s="11" t="str">
        <x:f>IF(Daily_Operations!U4="DATA_INCOMPLETE","BLOCKED",IF(OR(Daily_Operations!S4&gt;=5,Daily_Operations!R4&lt;4.2),"MEDIUM","OK"))</x:f>
        <x:v>OK</x:v>
      </x:c>
      <x:c r="G4" s="11" t="str">
        <x:f>IF(Daily_Operations!U4="DATA_INCOMPLETE","DATA_INCOMPLETE","OK")</x:f>
        <x:v>OK</x:v>
      </x:c>
      <x:c r="H4" s="11" t="str">
        <x:f>IF(G4="DATA_INCOMPLETE","GA-007",IF(D4="CRITICAL","GA-002",IF(B4="HIGH","GA-001",IF(C4="HIGH",Daily_Operations!V4,IF(E4="HIGH","GA-004",IF(F4="MEDIUM","GA-006",""))))))</x:f>
      </x:c>
      <x:c r="I4" s="11" t="str">
        <x:f>IF(G4="DATA_INCOMPLETE","CRITICAL",IF(D4="CRITICAL","CRITICAL",IF(OR(B4="HIGH",C4="HIGH",E4="HIGH"),"HIGH",IF(F4="MEDIUM","MEDIUM","NORMAL"))))</x:f>
        <x:v>NORMAL</x:v>
      </x:c>
    </x:row>
    <x:row r="5">
      <x:c r="A5" s="14" t="n">
        <x:v>46177</x:v>
      </x:c>
      <x:c r="B5" s="11" t="str">
        <x:f>IF(Daily_Operations!U5="DATA_INCOMPLETE","BLOCKED",IF(Daily_Operations!G5&gt;=0.33,"HIGH","OK"))</x:f>
        <x:v>OK</x:v>
      </x:c>
      <x:c r="C5" s="11" t="str">
        <x:f>IF(Daily_Operations!U5="DATA_INCOMPLETE","BLOCKED",IF(Daily_Operations!I5&gt;=0.39,"HIGH","OK"))</x:f>
        <x:v>OK</x:v>
      </x:c>
      <x:c r="D5" s="11" t="str">
        <x:f>IF(Daily_Operations!U5="DATA_INCOMPLETE","BLOCKED",IF(Daily_Operations!P5&lt;=-5,"CRITICAL","OK"))</x:f>
        <x:v>OK</x:v>
      </x:c>
      <x:c r="E5" s="11" t="str">
        <x:f>IF(Daily_Operations!U5="DATA_INCOMPLETE","BLOCKED",IFERROR(IF(Daily_Operations!M5/Daily_Operations!K5&gt;=0.05,"HIGH","OK"),"BLOCKED"))</x:f>
        <x:v>OK</x:v>
      </x:c>
      <x:c r="F5" s="11" t="str">
        <x:f>IF(Daily_Operations!U5="DATA_INCOMPLETE","BLOCKED",IF(OR(Daily_Operations!S5&gt;=5,Daily_Operations!R5&lt;4.2),"MEDIUM","OK"))</x:f>
        <x:v>OK</x:v>
      </x:c>
      <x:c r="G5" s="11" t="str">
        <x:f>IF(Daily_Operations!U5="DATA_INCOMPLETE","DATA_INCOMPLETE","OK")</x:f>
        <x:v>OK</x:v>
      </x:c>
      <x:c r="H5" s="11" t="str">
        <x:f>IF(G5="DATA_INCOMPLETE","GA-007",IF(D5="CRITICAL","GA-002",IF(B5="HIGH","GA-001",IF(C5="HIGH",Daily_Operations!V5,IF(E5="HIGH","GA-004",IF(F5="MEDIUM","GA-006",""))))))</x:f>
      </x:c>
      <x:c r="I5" s="11" t="str">
        <x:f>IF(G5="DATA_INCOMPLETE","CRITICAL",IF(D5="CRITICAL","CRITICAL",IF(OR(B5="HIGH",C5="HIGH",E5="HIGH"),"HIGH",IF(F5="MEDIUM","MEDIUM","NORMAL"))))</x:f>
        <x:v>NORMAL</x:v>
      </x:c>
    </x:row>
    <x:row r="6">
      <x:c r="A6" s="14" t="n">
        <x:v>46178</x:v>
      </x:c>
      <x:c r="B6" s="11" t="str">
        <x:f>IF(Daily_Operations!U6="DATA_INCOMPLETE","BLOCKED",IF(Daily_Operations!G6&gt;=0.33,"HIGH","OK"))</x:f>
        <x:v>OK</x:v>
      </x:c>
      <x:c r="C6" s="11" t="str">
        <x:f>IF(Daily_Operations!U6="DATA_INCOMPLETE","BLOCKED",IF(Daily_Operations!I6&gt;=0.39,"HIGH","OK"))</x:f>
        <x:v>OK</x:v>
      </x:c>
      <x:c r="D6" s="11" t="str">
        <x:f>IF(Daily_Operations!U6="DATA_INCOMPLETE","BLOCKED",IF(Daily_Operations!P6&lt;=-5,"CRITICAL","OK"))</x:f>
        <x:v>OK</x:v>
      </x:c>
      <x:c r="E6" s="11" t="str">
        <x:f>IF(Daily_Operations!U6="DATA_INCOMPLETE","BLOCKED",IFERROR(IF(Daily_Operations!M6/Daily_Operations!K6&gt;=0.05,"HIGH","OK"),"BLOCKED"))</x:f>
        <x:v>OK</x:v>
      </x:c>
      <x:c r="F6" s="11" t="str">
        <x:f>IF(Daily_Operations!U6="DATA_INCOMPLETE","BLOCKED",IF(OR(Daily_Operations!S6&gt;=5,Daily_Operations!R6&lt;4.2),"MEDIUM","OK"))</x:f>
        <x:v>OK</x:v>
      </x:c>
      <x:c r="G6" s="11" t="str">
        <x:f>IF(Daily_Operations!U6="DATA_INCOMPLETE","DATA_INCOMPLETE","OK")</x:f>
        <x:v>OK</x:v>
      </x:c>
      <x:c r="H6" s="11" t="str">
        <x:f>IF(G6="DATA_INCOMPLETE","GA-007",IF(D6="CRITICAL","GA-002",IF(B6="HIGH","GA-001",IF(C6="HIGH",Daily_Operations!V6,IF(E6="HIGH","GA-004",IF(F6="MEDIUM","GA-006",""))))))</x:f>
      </x:c>
      <x:c r="I6" s="11" t="str">
        <x:f>IF(G6="DATA_INCOMPLETE","CRITICAL",IF(D6="CRITICAL","CRITICAL",IF(OR(B6="HIGH",C6="HIGH",E6="HIGH"),"HIGH",IF(F6="MEDIUM","MEDIUM","NORMAL"))))</x:f>
        <x:v>NORMAL</x:v>
      </x:c>
    </x:row>
    <x:row r="7">
      <x:c r="A7" s="14" t="n">
        <x:v>46179</x:v>
      </x:c>
      <x:c r="B7" s="11" t="str">
        <x:f>IF(Daily_Operations!U7="DATA_INCOMPLETE","BLOCKED",IF(Daily_Operations!G7&gt;=0.33,"HIGH","OK"))</x:f>
        <x:v>OK</x:v>
      </x:c>
      <x:c r="C7" s="11" t="str">
        <x:f>IF(Daily_Operations!U7="DATA_INCOMPLETE","BLOCKED",IF(Daily_Operations!I7&gt;=0.39,"HIGH","OK"))</x:f>
        <x:v>OK</x:v>
      </x:c>
      <x:c r="D7" s="11" t="str">
        <x:f>IF(Daily_Operations!U7="DATA_INCOMPLETE","BLOCKED",IF(Daily_Operations!P7&lt;=-5,"CRITICAL","OK"))</x:f>
        <x:v>OK</x:v>
      </x:c>
      <x:c r="E7" s="11" t="str">
        <x:f>IF(Daily_Operations!U7="DATA_INCOMPLETE","BLOCKED",IFERROR(IF(Daily_Operations!M7/Daily_Operations!K7&gt;=0.05,"HIGH","OK"),"BLOCKED"))</x:f>
        <x:v>OK</x:v>
      </x:c>
      <x:c r="F7" s="11" t="str">
        <x:f>IF(Daily_Operations!U7="DATA_INCOMPLETE","BLOCKED",IF(OR(Daily_Operations!S7&gt;=5,Daily_Operations!R7&lt;4.2),"MEDIUM","OK"))</x:f>
        <x:v>OK</x:v>
      </x:c>
      <x:c r="G7" s="11" t="str">
        <x:f>IF(Daily_Operations!U7="DATA_INCOMPLETE","DATA_INCOMPLETE","OK")</x:f>
        <x:v>OK</x:v>
      </x:c>
      <x:c r="H7" s="11" t="str">
        <x:f>IF(G7="DATA_INCOMPLETE","GA-007",IF(D7="CRITICAL","GA-002",IF(B7="HIGH","GA-001",IF(C7="HIGH",Daily_Operations!V7,IF(E7="HIGH","GA-004",IF(F7="MEDIUM","GA-006",""))))))</x:f>
      </x:c>
      <x:c r="I7" s="11" t="str">
        <x:f>IF(G7="DATA_INCOMPLETE","CRITICAL",IF(D7="CRITICAL","CRITICAL",IF(OR(B7="HIGH",C7="HIGH",E7="HIGH"),"HIGH",IF(F7="MEDIUM","MEDIUM","NORMAL"))))</x:f>
        <x:v>NORMAL</x:v>
      </x:c>
    </x:row>
    <x:row r="8">
      <x:c r="A8" s="14" t="n">
        <x:v>46180</x:v>
      </x:c>
      <x:c r="B8" s="11" t="str">
        <x:f>IF(Daily_Operations!U8="DATA_INCOMPLETE","BLOCKED",IF(Daily_Operations!G8&gt;=0.33,"HIGH","OK"))</x:f>
        <x:v>OK</x:v>
      </x:c>
      <x:c r="C8" s="11" t="str">
        <x:f>IF(Daily_Operations!U8="DATA_INCOMPLETE","BLOCKED",IF(Daily_Operations!I8&gt;=0.39,"HIGH","OK"))</x:f>
        <x:v>OK</x:v>
      </x:c>
      <x:c r="D8" s="11" t="str">
        <x:f>IF(Daily_Operations!U8="DATA_INCOMPLETE","BLOCKED",IF(Daily_Operations!P8&lt;=-5,"CRITICAL","OK"))</x:f>
        <x:v>OK</x:v>
      </x:c>
      <x:c r="E8" s="11" t="str">
        <x:f>IF(Daily_Operations!U8="DATA_INCOMPLETE","BLOCKED",IFERROR(IF(Daily_Operations!M8/Daily_Operations!K8&gt;=0.05,"HIGH","OK"),"BLOCKED"))</x:f>
        <x:v>OK</x:v>
      </x:c>
      <x:c r="F8" s="11" t="str">
        <x:f>IF(Daily_Operations!U8="DATA_INCOMPLETE","BLOCKED",IF(OR(Daily_Operations!S8&gt;=5,Daily_Operations!R8&lt;4.2),"MEDIUM","OK"))</x:f>
        <x:v>OK</x:v>
      </x:c>
      <x:c r="G8" s="11" t="str">
        <x:f>IF(Daily_Operations!U8="DATA_INCOMPLETE","DATA_INCOMPLETE","OK")</x:f>
        <x:v>OK</x:v>
      </x:c>
      <x:c r="H8" s="11" t="str">
        <x:f>IF(G8="DATA_INCOMPLETE","GA-007",IF(D8="CRITICAL","GA-002",IF(B8="HIGH","GA-001",IF(C8="HIGH",Daily_Operations!V8,IF(E8="HIGH","GA-004",IF(F8="MEDIUM","GA-006",""))))))</x:f>
      </x:c>
      <x:c r="I8" s="11" t="str">
        <x:f>IF(G8="DATA_INCOMPLETE","CRITICAL",IF(D8="CRITICAL","CRITICAL",IF(OR(B8="HIGH",C8="HIGH",E8="HIGH"),"HIGH",IF(F8="MEDIUM","MEDIUM","NORMAL"))))</x:f>
        <x:v>NORMAL</x:v>
      </x:c>
    </x:row>
    <x:row r="9">
      <x:c r="A9" s="15" t="n">
        <x:v>46181</x:v>
      </x:c>
      <x:c r="B9" t="str">
        <x:f>IF(Daily_Operations!U9="DATA_INCOMPLETE","BLOCKED",IF(Daily_Operations!G9&gt;=0.33,"HIGH","OK"))</x:f>
        <x:v>OK</x:v>
      </x:c>
      <x:c r="C9" t="str">
        <x:f>IF(Daily_Operations!U9="DATA_INCOMPLETE","BLOCKED",IF(Daily_Operations!I9&gt;=0.39,"HIGH","OK"))</x:f>
        <x:v>OK</x:v>
      </x:c>
      <x:c r="D9" t="str">
        <x:f>IF(Daily_Operations!U9="DATA_INCOMPLETE","BLOCKED",IF(Daily_Operations!P9&lt;=-5,"CRITICAL","OK"))</x:f>
        <x:v>OK</x:v>
      </x:c>
      <x:c r="E9" t="str">
        <x:f>IF(Daily_Operations!U9="DATA_INCOMPLETE","BLOCKED",IFERROR(IF(Daily_Operations!M9/Daily_Operations!K9&gt;=0.05,"HIGH","OK"),"BLOCKED"))</x:f>
        <x:v>OK</x:v>
      </x:c>
      <x:c r="F9" t="str">
        <x:f>IF(Daily_Operations!U9="DATA_INCOMPLETE","BLOCKED",IF(OR(Daily_Operations!S9&gt;=5,Daily_Operations!R9&lt;4.2),"MEDIUM","OK"))</x:f>
        <x:v>OK</x:v>
      </x:c>
      <x:c r="G9" t="str">
        <x:f>IF(Daily_Operations!U9="DATA_INCOMPLETE","DATA_INCOMPLETE","OK")</x:f>
        <x:v>OK</x:v>
      </x:c>
      <x:c r="H9" t="str">
        <x:f>IF(G9="DATA_INCOMPLETE","GA-007",IF(D9="CRITICAL","GA-002",IF(B9="HIGH","GA-001",IF(C9="HIGH",Daily_Operations!V9,IF(E9="HIGH","GA-004",IF(F9="MEDIUM","GA-006",""))))))</x:f>
      </x:c>
      <x:c r="I9" t="str">
        <x:f>IF(G9="DATA_INCOMPLETE","CRITICAL",IF(D9="CRITICAL","CRITICAL",IF(OR(B9="HIGH",C9="HIGH",E9="HIGH"),"HIGH",IF(F9="MEDIUM","MEDIUM","NORMAL"))))</x:f>
        <x:v>NORMAL</x:v>
      </x:c>
    </x:row>
    <x:row r="10">
      <x:c r="A10" s="15" t="n">
        <x:v>46182</x:v>
      </x:c>
      <x:c r="B10" t="str">
        <x:f>IF(Daily_Operations!U10="DATA_INCOMPLETE","BLOCKED",IF(Daily_Operations!G10&gt;=0.33,"HIGH","OK"))</x:f>
        <x:v>OK</x:v>
      </x:c>
      <x:c r="C10" t="str">
        <x:f>IF(Daily_Operations!U10="DATA_INCOMPLETE","BLOCKED",IF(Daily_Operations!I10&gt;=0.39,"HIGH","OK"))</x:f>
        <x:v>OK</x:v>
      </x:c>
      <x:c r="D10" t="str">
        <x:f>IF(Daily_Operations!U10="DATA_INCOMPLETE","BLOCKED",IF(Daily_Operations!P10&lt;=-5,"CRITICAL","OK"))</x:f>
        <x:v>OK</x:v>
      </x:c>
      <x:c r="E10" t="str">
        <x:f>IF(Daily_Operations!U10="DATA_INCOMPLETE","BLOCKED",IFERROR(IF(Daily_Operations!M10/Daily_Operations!K10&gt;=0.05,"HIGH","OK"),"BLOCKED"))</x:f>
        <x:v>OK</x:v>
      </x:c>
      <x:c r="F10" t="str">
        <x:f>IF(Daily_Operations!U10="DATA_INCOMPLETE","BLOCKED",IF(OR(Daily_Operations!S10&gt;=5,Daily_Operations!R10&lt;4.2),"MEDIUM","OK"))</x:f>
        <x:v>OK</x:v>
      </x:c>
      <x:c r="G10" t="str">
        <x:f>IF(Daily_Operations!U10="DATA_INCOMPLETE","DATA_INCOMPLETE","OK")</x:f>
        <x:v>OK</x:v>
      </x:c>
      <x:c r="H10" t="str">
        <x:f>IF(G10="DATA_INCOMPLETE","GA-007",IF(D10="CRITICAL","GA-002",IF(B10="HIGH","GA-001",IF(C10="HIGH",Daily_Operations!V10,IF(E10="HIGH","GA-004",IF(F10="MEDIUM","GA-006",""))))))</x:f>
      </x:c>
      <x:c r="I10" t="str">
        <x:f>IF(G10="DATA_INCOMPLETE","CRITICAL",IF(D10="CRITICAL","CRITICAL",IF(OR(B10="HIGH",C10="HIGH",E10="HIGH"),"HIGH",IF(F10="MEDIUM","MEDIUM","NORMAL"))))</x:f>
        <x:v>NORMAL</x:v>
      </x:c>
    </x:row>
    <x:row r="11">
      <x:c r="A11" s="15" t="n">
        <x:v>46183</x:v>
      </x:c>
      <x:c r="B11" t="str">
        <x:f>IF(Daily_Operations!U11="DATA_INCOMPLETE","BLOCKED",IF(Daily_Operations!G11&gt;=0.33,"HIGH","OK"))</x:f>
        <x:v>OK</x:v>
      </x:c>
      <x:c r="C11" t="str">
        <x:f>IF(Daily_Operations!U11="DATA_INCOMPLETE","BLOCKED",IF(Daily_Operations!I11&gt;=0.39,"HIGH","OK"))</x:f>
        <x:v>OK</x:v>
      </x:c>
      <x:c r="D11" t="str">
        <x:f>IF(Daily_Operations!U11="DATA_INCOMPLETE","BLOCKED",IF(Daily_Operations!P11&lt;=-5,"CRITICAL","OK"))</x:f>
        <x:v>OK</x:v>
      </x:c>
      <x:c r="E11" t="str">
        <x:f>IF(Daily_Operations!U11="DATA_INCOMPLETE","BLOCKED",IFERROR(IF(Daily_Operations!M11/Daily_Operations!K11&gt;=0.05,"HIGH","OK"),"BLOCKED"))</x:f>
        <x:v>OK</x:v>
      </x:c>
      <x:c r="F11" t="str">
        <x:f>IF(Daily_Operations!U11="DATA_INCOMPLETE","BLOCKED",IF(OR(Daily_Operations!S11&gt;=5,Daily_Operations!R11&lt;4.2),"MEDIUM","OK"))</x:f>
        <x:v>OK</x:v>
      </x:c>
      <x:c r="G11" t="str">
        <x:f>IF(Daily_Operations!U11="DATA_INCOMPLETE","DATA_INCOMPLETE","OK")</x:f>
        <x:v>OK</x:v>
      </x:c>
      <x:c r="H11" t="str">
        <x:f>IF(G11="DATA_INCOMPLETE","GA-007",IF(D11="CRITICAL","GA-002",IF(B11="HIGH","GA-001",IF(C11="HIGH",Daily_Operations!V11,IF(E11="HIGH","GA-004",IF(F11="MEDIUM","GA-006",""))))))</x:f>
      </x:c>
      <x:c r="I11" t="str">
        <x:f>IF(G11="DATA_INCOMPLETE","CRITICAL",IF(D11="CRITICAL","CRITICAL",IF(OR(B11="HIGH",C11="HIGH",E11="HIGH"),"HIGH",IF(F11="MEDIUM","MEDIUM","NORMAL"))))</x:f>
        <x:v>NORMAL</x:v>
      </x:c>
    </x:row>
    <x:row r="12">
      <x:c r="A12" s="15" t="n">
        <x:v>46184</x:v>
      </x:c>
      <x:c r="B12" t="str">
        <x:f>IF(Daily_Operations!U12="DATA_INCOMPLETE","BLOCKED",IF(Daily_Operations!G12&gt;=0.33,"HIGH","OK"))</x:f>
        <x:v>OK</x:v>
      </x:c>
      <x:c r="C12" t="str">
        <x:f>IF(Daily_Operations!U12="DATA_INCOMPLETE","BLOCKED",IF(Daily_Operations!I12&gt;=0.39,"HIGH","OK"))</x:f>
        <x:v>OK</x:v>
      </x:c>
      <x:c r="D12" t="str">
        <x:f>IF(Daily_Operations!U12="DATA_INCOMPLETE","BLOCKED",IF(Daily_Operations!P12&lt;=-5,"CRITICAL","OK"))</x:f>
        <x:v>OK</x:v>
      </x:c>
      <x:c r="E12" t="str">
        <x:f>IF(Daily_Operations!U12="DATA_INCOMPLETE","BLOCKED",IFERROR(IF(Daily_Operations!M12/Daily_Operations!K12&gt;=0.05,"HIGH","OK"),"BLOCKED"))</x:f>
        <x:v>OK</x:v>
      </x:c>
      <x:c r="F12" t="str">
        <x:f>IF(Daily_Operations!U12="DATA_INCOMPLETE","BLOCKED",IF(OR(Daily_Operations!S12&gt;=5,Daily_Operations!R12&lt;4.2),"MEDIUM","OK"))</x:f>
        <x:v>OK</x:v>
      </x:c>
      <x:c r="G12" t="str">
        <x:f>IF(Daily_Operations!U12="DATA_INCOMPLETE","DATA_INCOMPLETE","OK")</x:f>
        <x:v>OK</x:v>
      </x:c>
      <x:c r="H12" t="str">
        <x:f>IF(G12="DATA_INCOMPLETE","GA-007",IF(D12="CRITICAL","GA-002",IF(B12="HIGH","GA-001",IF(C12="HIGH",Daily_Operations!V12,IF(E12="HIGH","GA-004",IF(F12="MEDIUM","GA-006",""))))))</x:f>
      </x:c>
      <x:c r="I12" t="str">
        <x:f>IF(G12="DATA_INCOMPLETE","CRITICAL",IF(D12="CRITICAL","CRITICAL",IF(OR(B12="HIGH",C12="HIGH",E12="HIGH"),"HIGH",IF(F12="MEDIUM","MEDIUM","NORMAL"))))</x:f>
        <x:v>NORMAL</x:v>
      </x:c>
    </x:row>
    <x:row r="13">
      <x:c r="A13" s="15" t="n">
        <x:v>46185</x:v>
      </x:c>
      <x:c r="B13" t="str">
        <x:f>IF(Daily_Operations!U13="DATA_INCOMPLETE","BLOCKED",IF(Daily_Operations!G13&gt;=0.33,"HIGH","OK"))</x:f>
        <x:v>HIGH</x:v>
      </x:c>
      <x:c r="C13" t="str">
        <x:f>IF(Daily_Operations!U13="DATA_INCOMPLETE","BLOCKED",IF(Daily_Operations!I13&gt;=0.39,"HIGH","OK"))</x:f>
        <x:v>OK</x:v>
      </x:c>
      <x:c r="D13" t="str">
        <x:f>IF(Daily_Operations!U13="DATA_INCOMPLETE","BLOCKED",IF(Daily_Operations!P13&lt;=-5,"CRITICAL","OK"))</x:f>
        <x:v>OK</x:v>
      </x:c>
      <x:c r="E13" t="str">
        <x:f>IF(Daily_Operations!U13="DATA_INCOMPLETE","BLOCKED",IFERROR(IF(Daily_Operations!M13/Daily_Operations!K13&gt;=0.05,"HIGH","OK"),"BLOCKED"))</x:f>
        <x:v>OK</x:v>
      </x:c>
      <x:c r="F13" t="str">
        <x:f>IF(Daily_Operations!U13="DATA_INCOMPLETE","BLOCKED",IF(OR(Daily_Operations!S13&gt;=5,Daily_Operations!R13&lt;4.2),"MEDIUM","OK"))</x:f>
        <x:v>OK</x:v>
      </x:c>
      <x:c r="G13" t="str">
        <x:f>IF(Daily_Operations!U13="DATA_INCOMPLETE","DATA_INCOMPLETE","OK")</x:f>
        <x:v>OK</x:v>
      </x:c>
      <x:c r="H13" t="str">
        <x:f>IF(G13="DATA_INCOMPLETE","GA-007",IF(D13="CRITICAL","GA-002",IF(B13="HIGH","GA-001",IF(C13="HIGH",Daily_Operations!V13,IF(E13="HIGH","GA-004",IF(F13="MEDIUM","GA-006",""))))))</x:f>
        <x:v>GA-001</x:v>
      </x:c>
      <x:c r="I13" t="str">
        <x:f>IF(G13="DATA_INCOMPLETE","CRITICAL",IF(D13="CRITICAL","CRITICAL",IF(OR(B13="HIGH",C13="HIGH",E13="HIGH"),"HIGH",IF(F13="MEDIUM","MEDIUM","NORMAL"))))</x:f>
        <x:v>HIGH</x:v>
      </x:c>
    </x:row>
    <x:row r="14">
      <x:c r="A14" s="15" t="n">
        <x:v>46186</x:v>
      </x:c>
      <x:c r="B14" t="str">
        <x:f>IF(Daily_Operations!U14="DATA_INCOMPLETE","BLOCKED",IF(Daily_Operations!G14&gt;=0.33,"HIGH","OK"))</x:f>
        <x:v>OK</x:v>
      </x:c>
      <x:c r="C14" t="str">
        <x:f>IF(Daily_Operations!U14="DATA_INCOMPLETE","BLOCKED",IF(Daily_Operations!I14&gt;=0.39,"HIGH","OK"))</x:f>
        <x:v>OK</x:v>
      </x:c>
      <x:c r="D14" t="str">
        <x:f>IF(Daily_Operations!U14="DATA_INCOMPLETE","BLOCKED",IF(Daily_Operations!P14&lt;=-5,"CRITICAL","OK"))</x:f>
        <x:v>OK</x:v>
      </x:c>
      <x:c r="E14" t="str">
        <x:f>IF(Daily_Operations!U14="DATA_INCOMPLETE","BLOCKED",IFERROR(IF(Daily_Operations!M14/Daily_Operations!K14&gt;=0.05,"HIGH","OK"),"BLOCKED"))</x:f>
        <x:v>OK</x:v>
      </x:c>
      <x:c r="F14" t="str">
        <x:f>IF(Daily_Operations!U14="DATA_INCOMPLETE","BLOCKED",IF(OR(Daily_Operations!S14&gt;=5,Daily_Operations!R14&lt;4.2),"MEDIUM","OK"))</x:f>
        <x:v>OK</x:v>
      </x:c>
      <x:c r="G14" t="str">
        <x:f>IF(Daily_Operations!U14="DATA_INCOMPLETE","DATA_INCOMPLETE","OK")</x:f>
        <x:v>OK</x:v>
      </x:c>
      <x:c r="H14" t="str">
        <x:f>IF(G14="DATA_INCOMPLETE","GA-007",IF(D14="CRITICAL","GA-002",IF(B14="HIGH","GA-001",IF(C14="HIGH",Daily_Operations!V14,IF(E14="HIGH","GA-004",IF(F14="MEDIUM","GA-006",""))))))</x:f>
      </x:c>
      <x:c r="I14" t="str">
        <x:f>IF(G14="DATA_INCOMPLETE","CRITICAL",IF(D14="CRITICAL","CRITICAL",IF(OR(B14="HIGH",C14="HIGH",E14="HIGH"),"HIGH",IF(F14="MEDIUM","MEDIUM","NORMAL"))))</x:f>
        <x:v>NORMAL</x:v>
      </x:c>
    </x:row>
    <x:row r="15">
      <x:c r="A15" s="15" t="n">
        <x:v>46187</x:v>
      </x:c>
      <x:c r="B15" t="str">
        <x:f>IF(Daily_Operations!U15="DATA_INCOMPLETE","BLOCKED",IF(Daily_Operations!G15&gt;=0.33,"HIGH","OK"))</x:f>
        <x:v>OK</x:v>
      </x:c>
      <x:c r="C15" t="str">
        <x:f>IF(Daily_Operations!U15="DATA_INCOMPLETE","BLOCKED",IF(Daily_Operations!I15&gt;=0.39,"HIGH","OK"))</x:f>
        <x:v>OK</x:v>
      </x:c>
      <x:c r="D15" t="str">
        <x:f>IF(Daily_Operations!U15="DATA_INCOMPLETE","BLOCKED",IF(Daily_Operations!P15&lt;=-5,"CRITICAL","OK"))</x:f>
        <x:v>OK</x:v>
      </x:c>
      <x:c r="E15" t="str">
        <x:f>IF(Daily_Operations!U15="DATA_INCOMPLETE","BLOCKED",IFERROR(IF(Daily_Operations!M15/Daily_Operations!K15&gt;=0.05,"HIGH","OK"),"BLOCKED"))</x:f>
        <x:v>OK</x:v>
      </x:c>
      <x:c r="F15" t="str">
        <x:f>IF(Daily_Operations!U15="DATA_INCOMPLETE","BLOCKED",IF(OR(Daily_Operations!S15&gt;=5,Daily_Operations!R15&lt;4.2),"MEDIUM","OK"))</x:f>
        <x:v>OK</x:v>
      </x:c>
      <x:c r="G15" t="str">
        <x:f>IF(Daily_Operations!U15="DATA_INCOMPLETE","DATA_INCOMPLETE","OK")</x:f>
        <x:v>OK</x:v>
      </x:c>
      <x:c r="H15" t="str">
        <x:f>IF(G15="DATA_INCOMPLETE","GA-007",IF(D15="CRITICAL","GA-002",IF(B15="HIGH","GA-001",IF(C15="HIGH",Daily_Operations!V15,IF(E15="HIGH","GA-004",IF(F15="MEDIUM","GA-006",""))))))</x:f>
      </x:c>
      <x:c r="I15" t="str">
        <x:f>IF(G15="DATA_INCOMPLETE","CRITICAL",IF(D15="CRITICAL","CRITICAL",IF(OR(B15="HIGH",C15="HIGH",E15="HIGH"),"HIGH",IF(F15="MEDIUM","MEDIUM","NORMAL"))))</x:f>
        <x:v>NORMAL</x:v>
      </x:c>
    </x:row>
    <x:row r="16">
      <x:c r="A16" s="15" t="n">
        <x:v>46188</x:v>
      </x:c>
      <x:c r="B16" t="str">
        <x:f>IF(Daily_Operations!U16="DATA_INCOMPLETE","BLOCKED",IF(Daily_Operations!G16&gt;=0.33,"HIGH","OK"))</x:f>
        <x:v>OK</x:v>
      </x:c>
      <x:c r="C16" t="str">
        <x:f>IF(Daily_Operations!U16="DATA_INCOMPLETE","BLOCKED",IF(Daily_Operations!I16&gt;=0.39,"HIGH","OK"))</x:f>
        <x:v>OK</x:v>
      </x:c>
      <x:c r="D16" t="str">
        <x:f>IF(Daily_Operations!U16="DATA_INCOMPLETE","BLOCKED",IF(Daily_Operations!P16&lt;=-5,"CRITICAL","OK"))</x:f>
        <x:v>OK</x:v>
      </x:c>
      <x:c r="E16" t="str">
        <x:f>IF(Daily_Operations!U16="DATA_INCOMPLETE","BLOCKED",IFERROR(IF(Daily_Operations!M16/Daily_Operations!K16&gt;=0.05,"HIGH","OK"),"BLOCKED"))</x:f>
        <x:v>OK</x:v>
      </x:c>
      <x:c r="F16" t="str">
        <x:f>IF(Daily_Operations!U16="DATA_INCOMPLETE","BLOCKED",IF(OR(Daily_Operations!S16&gt;=5,Daily_Operations!R16&lt;4.2),"MEDIUM","OK"))</x:f>
        <x:v>OK</x:v>
      </x:c>
      <x:c r="G16" t="str">
        <x:f>IF(Daily_Operations!U16="DATA_INCOMPLETE","DATA_INCOMPLETE","OK")</x:f>
        <x:v>OK</x:v>
      </x:c>
      <x:c r="H16" t="str">
        <x:f>IF(G16="DATA_INCOMPLETE","GA-007",IF(D16="CRITICAL","GA-002",IF(B16="HIGH","GA-001",IF(C16="HIGH",Daily_Operations!V16,IF(E16="HIGH","GA-004",IF(F16="MEDIUM","GA-006",""))))))</x:f>
      </x:c>
      <x:c r="I16" t="str">
        <x:f>IF(G16="DATA_INCOMPLETE","CRITICAL",IF(D16="CRITICAL","CRITICAL",IF(OR(B16="HIGH",C16="HIGH",E16="HIGH"),"HIGH",IF(F16="MEDIUM","MEDIUM","NORMAL"))))</x:f>
        <x:v>NORMAL</x:v>
      </x:c>
    </x:row>
    <x:row r="17">
      <x:c r="A17" s="15" t="n">
        <x:v>46189</x:v>
      </x:c>
      <x:c r="B17" t="str">
        <x:f>IF(Daily_Operations!U17="DATA_INCOMPLETE","BLOCKED",IF(Daily_Operations!G17&gt;=0.33,"HIGH","OK"))</x:f>
        <x:v>OK</x:v>
      </x:c>
      <x:c r="C17" t="str">
        <x:f>IF(Daily_Operations!U17="DATA_INCOMPLETE","BLOCKED",IF(Daily_Operations!I17&gt;=0.39,"HIGH","OK"))</x:f>
        <x:v>OK</x:v>
      </x:c>
      <x:c r="D17" t="str">
        <x:f>IF(Daily_Operations!U17="DATA_INCOMPLETE","BLOCKED",IF(Daily_Operations!P17&lt;=-5,"CRITICAL","OK"))</x:f>
        <x:v>OK</x:v>
      </x:c>
      <x:c r="E17" t="str">
        <x:f>IF(Daily_Operations!U17="DATA_INCOMPLETE","BLOCKED",IFERROR(IF(Daily_Operations!M17/Daily_Operations!K17&gt;=0.05,"HIGH","OK"),"BLOCKED"))</x:f>
        <x:v>OK</x:v>
      </x:c>
      <x:c r="F17" t="str">
        <x:f>IF(Daily_Operations!U17="DATA_INCOMPLETE","BLOCKED",IF(OR(Daily_Operations!S17&gt;=5,Daily_Operations!R17&lt;4.2),"MEDIUM","OK"))</x:f>
        <x:v>OK</x:v>
      </x:c>
      <x:c r="G17" t="str">
        <x:f>IF(Daily_Operations!U17="DATA_INCOMPLETE","DATA_INCOMPLETE","OK")</x:f>
        <x:v>OK</x:v>
      </x:c>
      <x:c r="H17" t="str">
        <x:f>IF(G17="DATA_INCOMPLETE","GA-007",IF(D17="CRITICAL","GA-002",IF(B17="HIGH","GA-001",IF(C17="HIGH",Daily_Operations!V17,IF(E17="HIGH","GA-004",IF(F17="MEDIUM","GA-006",""))))))</x:f>
      </x:c>
      <x:c r="I17" t="str">
        <x:f>IF(G17="DATA_INCOMPLETE","CRITICAL",IF(D17="CRITICAL","CRITICAL",IF(OR(B17="HIGH",C17="HIGH",E17="HIGH"),"HIGH",IF(F17="MEDIUM","MEDIUM","NORMAL"))))</x:f>
        <x:v>NORMAL</x:v>
      </x:c>
    </x:row>
    <x:row r="18">
      <x:c r="A18" s="15" t="n">
        <x:v>46190</x:v>
      </x:c>
      <x:c r="B18" t="str">
        <x:f>IF(Daily_Operations!U18="DATA_INCOMPLETE","BLOCKED",IF(Daily_Operations!G18&gt;=0.33,"HIGH","OK"))</x:f>
        <x:v>OK</x:v>
      </x:c>
      <x:c r="C18" t="str">
        <x:f>IF(Daily_Operations!U18="DATA_INCOMPLETE","BLOCKED",IF(Daily_Operations!I18&gt;=0.39,"HIGH","OK"))</x:f>
        <x:v>OK</x:v>
      </x:c>
      <x:c r="D18" t="str">
        <x:f>IF(Daily_Operations!U18="DATA_INCOMPLETE","BLOCKED",IF(Daily_Operations!P18&lt;=-5,"CRITICAL","OK"))</x:f>
        <x:v>OK</x:v>
      </x:c>
      <x:c r="E18" t="str">
        <x:f>IF(Daily_Operations!U18="DATA_INCOMPLETE","BLOCKED",IFERROR(IF(Daily_Operations!M18/Daily_Operations!K18&gt;=0.05,"HIGH","OK"),"BLOCKED"))</x:f>
        <x:v>OK</x:v>
      </x:c>
      <x:c r="F18" t="str">
        <x:f>IF(Daily_Operations!U18="DATA_INCOMPLETE","BLOCKED",IF(OR(Daily_Operations!S18&gt;=5,Daily_Operations!R18&lt;4.2),"MEDIUM","OK"))</x:f>
        <x:v>OK</x:v>
      </x:c>
      <x:c r="G18" t="str">
        <x:f>IF(Daily_Operations!U18="DATA_INCOMPLETE","DATA_INCOMPLETE","OK")</x:f>
        <x:v>OK</x:v>
      </x:c>
      <x:c r="H18" t="str">
        <x:f>IF(G18="DATA_INCOMPLETE","GA-007",IF(D18="CRITICAL","GA-002",IF(B18="HIGH","GA-001",IF(C18="HIGH",Daily_Operations!V18,IF(E18="HIGH","GA-004",IF(F18="MEDIUM","GA-006",""))))))</x:f>
      </x:c>
      <x:c r="I18" t="str">
        <x:f>IF(G18="DATA_INCOMPLETE","CRITICAL",IF(D18="CRITICAL","CRITICAL",IF(OR(B18="HIGH",C18="HIGH",E18="HIGH"),"HIGH",IF(F18="MEDIUM","MEDIUM","NORMAL"))))</x:f>
        <x:v>NORMAL</x:v>
      </x:c>
    </x:row>
    <x:row r="19">
      <x:c r="A19" s="15" t="n">
        <x:v>46191</x:v>
      </x:c>
      <x:c r="B19" t="str">
        <x:f>IF(Daily_Operations!U19="DATA_INCOMPLETE","BLOCKED",IF(Daily_Operations!G19&gt;=0.33,"HIGH","OK"))</x:f>
        <x:v>OK</x:v>
      </x:c>
      <x:c r="C19" t="str">
        <x:f>IF(Daily_Operations!U19="DATA_INCOMPLETE","BLOCKED",IF(Daily_Operations!I19&gt;=0.39,"HIGH","OK"))</x:f>
        <x:v>OK</x:v>
      </x:c>
      <x:c r="D19" t="str">
        <x:f>IF(Daily_Operations!U19="DATA_INCOMPLETE","BLOCKED",IF(Daily_Operations!P19&lt;=-5,"CRITICAL","OK"))</x:f>
        <x:v>OK</x:v>
      </x:c>
      <x:c r="E19" t="str">
        <x:f>IF(Daily_Operations!U19="DATA_INCOMPLETE","BLOCKED",IFERROR(IF(Daily_Operations!M19/Daily_Operations!K19&gt;=0.05,"HIGH","OK"),"BLOCKED"))</x:f>
        <x:v>OK</x:v>
      </x:c>
      <x:c r="F19" t="str">
        <x:f>IF(Daily_Operations!U19="DATA_INCOMPLETE","BLOCKED",IF(OR(Daily_Operations!S19&gt;=5,Daily_Operations!R19&lt;4.2),"MEDIUM","OK"))</x:f>
        <x:v>OK</x:v>
      </x:c>
      <x:c r="G19" t="str">
        <x:f>IF(Daily_Operations!U19="DATA_INCOMPLETE","DATA_INCOMPLETE","OK")</x:f>
        <x:v>OK</x:v>
      </x:c>
      <x:c r="H19" t="str">
        <x:f>IF(G19="DATA_INCOMPLETE","GA-007",IF(D19="CRITICAL","GA-002",IF(B19="HIGH","GA-001",IF(C19="HIGH",Daily_Operations!V19,IF(E19="HIGH","GA-004",IF(F19="MEDIUM","GA-006",""))))))</x:f>
      </x:c>
      <x:c r="I19" t="str">
        <x:f>IF(G19="DATA_INCOMPLETE","CRITICAL",IF(D19="CRITICAL","CRITICAL",IF(OR(B19="HIGH",C19="HIGH",E19="HIGH"),"HIGH",IF(F19="MEDIUM","MEDIUM","NORMAL"))))</x:f>
        <x:v>NORMAL</x:v>
      </x:c>
    </x:row>
    <x:row r="20">
      <x:c r="A20" s="15" t="n">
        <x:v>46192</x:v>
      </x:c>
      <x:c r="B20" t="str">
        <x:f>IF(Daily_Operations!U20="DATA_INCOMPLETE","BLOCKED",IF(Daily_Operations!G20&gt;=0.33,"HIGH","OK"))</x:f>
        <x:v>OK</x:v>
      </x:c>
      <x:c r="C20" t="str">
        <x:f>IF(Daily_Operations!U20="DATA_INCOMPLETE","BLOCKED",IF(Daily_Operations!I20&gt;=0.39,"HIGH","OK"))</x:f>
        <x:v>OK</x:v>
      </x:c>
      <x:c r="D20" t="str">
        <x:f>IF(Daily_Operations!U20="DATA_INCOMPLETE","BLOCKED",IF(Daily_Operations!P20&lt;=-5,"CRITICAL","OK"))</x:f>
        <x:v>OK</x:v>
      </x:c>
      <x:c r="E20" t="str">
        <x:f>IF(Daily_Operations!U20="DATA_INCOMPLETE","BLOCKED",IFERROR(IF(Daily_Operations!M20/Daily_Operations!K20&gt;=0.05,"HIGH","OK"),"BLOCKED"))</x:f>
        <x:v>OK</x:v>
      </x:c>
      <x:c r="F20" t="str">
        <x:f>IF(Daily_Operations!U20="DATA_INCOMPLETE","BLOCKED",IF(OR(Daily_Operations!S20&gt;=5,Daily_Operations!R20&lt;4.2),"MEDIUM","OK"))</x:f>
        <x:v>OK</x:v>
      </x:c>
      <x:c r="G20" t="str">
        <x:f>IF(Daily_Operations!U20="DATA_INCOMPLETE","DATA_INCOMPLETE","OK")</x:f>
        <x:v>OK</x:v>
      </x:c>
      <x:c r="H20" t="str">
        <x:f>IF(G20="DATA_INCOMPLETE","GA-007",IF(D20="CRITICAL","GA-002",IF(B20="HIGH","GA-001",IF(C20="HIGH",Daily_Operations!V20,IF(E20="HIGH","GA-004",IF(F20="MEDIUM","GA-006",""))))))</x:f>
      </x:c>
      <x:c r="I20" t="str">
        <x:f>IF(G20="DATA_INCOMPLETE","CRITICAL",IF(D20="CRITICAL","CRITICAL",IF(OR(B20="HIGH",C20="HIGH",E20="HIGH"),"HIGH",IF(F20="MEDIUM","MEDIUM","NORMAL"))))</x:f>
        <x:v>NORMAL</x:v>
      </x:c>
    </x:row>
    <x:row r="21">
      <x:c r="A21" s="15" t="n">
        <x:v>46193</x:v>
      </x:c>
      <x:c r="B21" t="str">
        <x:f>IF(Daily_Operations!U21="DATA_INCOMPLETE","BLOCKED",IF(Daily_Operations!G21&gt;=0.33,"HIGH","OK"))</x:f>
        <x:v>OK</x:v>
      </x:c>
      <x:c r="C21" t="str">
        <x:f>IF(Daily_Operations!U21="DATA_INCOMPLETE","BLOCKED",IF(Daily_Operations!I21&gt;=0.39,"HIGH","OK"))</x:f>
        <x:v>OK</x:v>
      </x:c>
      <x:c r="D21" t="str">
        <x:f>IF(Daily_Operations!U21="DATA_INCOMPLETE","BLOCKED",IF(Daily_Operations!P21&lt;=-5,"CRITICAL","OK"))</x:f>
        <x:v>OK</x:v>
      </x:c>
      <x:c r="E21" t="str">
        <x:f>IF(Daily_Operations!U21="DATA_INCOMPLETE","BLOCKED",IFERROR(IF(Daily_Operations!M21/Daily_Operations!K21&gt;=0.05,"HIGH","OK"),"BLOCKED"))</x:f>
        <x:v>OK</x:v>
      </x:c>
      <x:c r="F21" t="str">
        <x:f>IF(Daily_Operations!U21="DATA_INCOMPLETE","BLOCKED",IF(OR(Daily_Operations!S21&gt;=5,Daily_Operations!R21&lt;4.2),"MEDIUM","OK"))</x:f>
        <x:v>OK</x:v>
      </x:c>
      <x:c r="G21" t="str">
        <x:f>IF(Daily_Operations!U21="DATA_INCOMPLETE","DATA_INCOMPLETE","OK")</x:f>
        <x:v>OK</x:v>
      </x:c>
      <x:c r="H21" t="str">
        <x:f>IF(G21="DATA_INCOMPLETE","GA-007",IF(D21="CRITICAL","GA-002",IF(B21="HIGH","GA-001",IF(C21="HIGH",Daily_Operations!V21,IF(E21="HIGH","GA-004",IF(F21="MEDIUM","GA-006",""))))))</x:f>
      </x:c>
      <x:c r="I21" t="str">
        <x:f>IF(G21="DATA_INCOMPLETE","CRITICAL",IF(D21="CRITICAL","CRITICAL",IF(OR(B21="HIGH",C21="HIGH",E21="HIGH"),"HIGH",IF(F21="MEDIUM","MEDIUM","NORMAL"))))</x:f>
        <x:v>NORMAL</x:v>
      </x:c>
    </x:row>
    <x:row r="22">
      <x:c r="A22" s="15" t="n">
        <x:v>46194</x:v>
      </x:c>
      <x:c r="B22" t="str">
        <x:f>IF(Daily_Operations!U22="DATA_INCOMPLETE","BLOCKED",IF(Daily_Operations!G22&gt;=0.33,"HIGH","OK"))</x:f>
        <x:v>OK</x:v>
      </x:c>
      <x:c r="C22" t="str">
        <x:f>IF(Daily_Operations!U22="DATA_INCOMPLETE","BLOCKED",IF(Daily_Operations!I22&gt;=0.39,"HIGH","OK"))</x:f>
        <x:v>OK</x:v>
      </x:c>
      <x:c r="D22" t="str">
        <x:f>IF(Daily_Operations!U22="DATA_INCOMPLETE","BLOCKED",IF(Daily_Operations!P22&lt;=-5,"CRITICAL","OK"))</x:f>
        <x:v>OK</x:v>
      </x:c>
      <x:c r="E22" t="str">
        <x:f>IF(Daily_Operations!U22="DATA_INCOMPLETE","BLOCKED",IFERROR(IF(Daily_Operations!M22/Daily_Operations!K22&gt;=0.05,"HIGH","OK"),"BLOCKED"))</x:f>
        <x:v>OK</x:v>
      </x:c>
      <x:c r="F22" t="str">
        <x:f>IF(Daily_Operations!U22="DATA_INCOMPLETE","BLOCKED",IF(OR(Daily_Operations!S22&gt;=5,Daily_Operations!R22&lt;4.2),"MEDIUM","OK"))</x:f>
        <x:v>OK</x:v>
      </x:c>
      <x:c r="G22" t="str">
        <x:f>IF(Daily_Operations!U22="DATA_INCOMPLETE","DATA_INCOMPLETE","OK")</x:f>
        <x:v>OK</x:v>
      </x:c>
      <x:c r="H22" t="str">
        <x:f>IF(G22="DATA_INCOMPLETE","GA-007",IF(D22="CRITICAL","GA-002",IF(B22="HIGH","GA-001",IF(C22="HIGH",Daily_Operations!V22,IF(E22="HIGH","GA-004",IF(F22="MEDIUM","GA-006",""))))))</x:f>
      </x:c>
      <x:c r="I22" t="str">
        <x:f>IF(G22="DATA_INCOMPLETE","CRITICAL",IF(D22="CRITICAL","CRITICAL",IF(OR(B22="HIGH",C22="HIGH",E22="HIGH"),"HIGH",IF(F22="MEDIUM","MEDIUM","NORMAL"))))</x:f>
        <x:v>NORMAL</x:v>
      </x:c>
    </x:row>
    <x:row r="23">
      <x:c r="A23" s="15" t="n">
        <x:v>46195</x:v>
      </x:c>
      <x:c r="B23" t="str">
        <x:f>IF(Daily_Operations!U23="DATA_INCOMPLETE","BLOCKED",IF(Daily_Operations!G23&gt;=0.33,"HIGH","OK"))</x:f>
        <x:v>OK</x:v>
      </x:c>
      <x:c r="C23" t="str">
        <x:f>IF(Daily_Operations!U23="DATA_INCOMPLETE","BLOCKED",IF(Daily_Operations!I23&gt;=0.39,"HIGH","OK"))</x:f>
        <x:v>OK</x:v>
      </x:c>
      <x:c r="D23" t="str">
        <x:f>IF(Daily_Operations!U23="DATA_INCOMPLETE","BLOCKED",IF(Daily_Operations!P23&lt;=-5,"CRITICAL","OK"))</x:f>
        <x:v>OK</x:v>
      </x:c>
      <x:c r="E23" t="str">
        <x:f>IF(Daily_Operations!U23="DATA_INCOMPLETE","BLOCKED",IFERROR(IF(Daily_Operations!M23/Daily_Operations!K23&gt;=0.05,"HIGH","OK"),"BLOCKED"))</x:f>
        <x:v>OK</x:v>
      </x:c>
      <x:c r="F23" t="str">
        <x:f>IF(Daily_Operations!U23="DATA_INCOMPLETE","BLOCKED",IF(OR(Daily_Operations!S23&gt;=5,Daily_Operations!R23&lt;4.2),"MEDIUM","OK"))</x:f>
        <x:v>OK</x:v>
      </x:c>
      <x:c r="G23" t="str">
        <x:f>IF(Daily_Operations!U23="DATA_INCOMPLETE","DATA_INCOMPLETE","OK")</x:f>
        <x:v>OK</x:v>
      </x:c>
      <x:c r="H23" t="str">
        <x:f>IF(G23="DATA_INCOMPLETE","GA-007",IF(D23="CRITICAL","GA-002",IF(B23="HIGH","GA-001",IF(C23="HIGH",Daily_Operations!V23,IF(E23="HIGH","GA-004",IF(F23="MEDIUM","GA-006",""))))))</x:f>
      </x:c>
      <x:c r="I23" t="str">
        <x:f>IF(G23="DATA_INCOMPLETE","CRITICAL",IF(D23="CRITICAL","CRITICAL",IF(OR(B23="HIGH",C23="HIGH",E23="HIGH"),"HIGH",IF(F23="MEDIUM","MEDIUM","NORMAL"))))</x:f>
        <x:v>NORMAL</x:v>
      </x:c>
    </x:row>
    <x:row r="24">
      <x:c r="A24" s="15" t="n">
        <x:v>46196</x:v>
      </x:c>
      <x:c r="B24" t="str">
        <x:f>IF(Daily_Operations!U24="DATA_INCOMPLETE","BLOCKED",IF(Daily_Operations!G24&gt;=0.33,"HIGH","OK"))</x:f>
        <x:v>OK</x:v>
      </x:c>
      <x:c r="C24" t="str">
        <x:f>IF(Daily_Operations!U24="DATA_INCOMPLETE","BLOCKED",IF(Daily_Operations!I24&gt;=0.39,"HIGH","OK"))</x:f>
        <x:v>OK</x:v>
      </x:c>
      <x:c r="D24" t="str">
        <x:f>IF(Daily_Operations!U24="DATA_INCOMPLETE","BLOCKED",IF(Daily_Operations!P24&lt;=-5,"CRITICAL","OK"))</x:f>
        <x:v>OK</x:v>
      </x:c>
      <x:c r="E24" t="str">
        <x:f>IF(Daily_Operations!U24="DATA_INCOMPLETE","BLOCKED",IFERROR(IF(Daily_Operations!M24/Daily_Operations!K24&gt;=0.05,"HIGH","OK"),"BLOCKED"))</x:f>
        <x:v>OK</x:v>
      </x:c>
      <x:c r="F24" t="str">
        <x:f>IF(Daily_Operations!U24="DATA_INCOMPLETE","BLOCKED",IF(OR(Daily_Operations!S24&gt;=5,Daily_Operations!R24&lt;4.2),"MEDIUM","OK"))</x:f>
        <x:v>OK</x:v>
      </x:c>
      <x:c r="G24" t="str">
        <x:f>IF(Daily_Operations!U24="DATA_INCOMPLETE","DATA_INCOMPLETE","OK")</x:f>
        <x:v>OK</x:v>
      </x:c>
      <x:c r="H24" t="str">
        <x:f>IF(G24="DATA_INCOMPLETE","GA-007",IF(D24="CRITICAL","GA-002",IF(B24="HIGH","GA-001",IF(C24="HIGH",Daily_Operations!V24,IF(E24="HIGH","GA-004",IF(F24="MEDIUM","GA-006",""))))))</x:f>
      </x:c>
      <x:c r="I24" t="str">
        <x:f>IF(G24="DATA_INCOMPLETE","CRITICAL",IF(D24="CRITICAL","CRITICAL",IF(OR(B24="HIGH",C24="HIGH",E24="HIGH"),"HIGH",IF(F24="MEDIUM","MEDIUM","NORMAL"))))</x:f>
        <x:v>NORMAL</x:v>
      </x:c>
    </x:row>
    <x:row r="25">
      <x:c r="A25" s="15" t="n">
        <x:v>46197</x:v>
      </x:c>
      <x:c r="B25" t="str">
        <x:f>IF(Daily_Operations!U25="DATA_INCOMPLETE","BLOCKED",IF(Daily_Operations!G25&gt;=0.33,"HIGH","OK"))</x:f>
        <x:v>OK</x:v>
      </x:c>
      <x:c r="C25" t="str">
        <x:f>IF(Daily_Operations!U25="DATA_INCOMPLETE","BLOCKED",IF(Daily_Operations!I25&gt;=0.39,"HIGH","OK"))</x:f>
        <x:v>OK</x:v>
      </x:c>
      <x:c r="D25" t="str">
        <x:f>IF(Daily_Operations!U25="DATA_INCOMPLETE","BLOCKED",IF(Daily_Operations!P25&lt;=-5,"CRITICAL","OK"))</x:f>
        <x:v>CRITICAL</x:v>
      </x:c>
      <x:c r="E25" t="str">
        <x:f>IF(Daily_Operations!U25="DATA_INCOMPLETE","BLOCKED",IFERROR(IF(Daily_Operations!M25/Daily_Operations!K25&gt;=0.05,"HIGH","OK"),"BLOCKED"))</x:f>
        <x:v>OK</x:v>
      </x:c>
      <x:c r="F25" t="str">
        <x:f>IF(Daily_Operations!U25="DATA_INCOMPLETE","BLOCKED",IF(OR(Daily_Operations!S25&gt;=5,Daily_Operations!R25&lt;4.2),"MEDIUM","OK"))</x:f>
        <x:v>OK</x:v>
      </x:c>
      <x:c r="G25" t="str">
        <x:f>IF(Daily_Operations!U25="DATA_INCOMPLETE","DATA_INCOMPLETE","OK")</x:f>
        <x:v>OK</x:v>
      </x:c>
      <x:c r="H25" t="str">
        <x:f>IF(G25="DATA_INCOMPLETE","GA-007",IF(D25="CRITICAL","GA-002",IF(B25="HIGH","GA-001",IF(C25="HIGH",Daily_Operations!V25,IF(E25="HIGH","GA-004",IF(F25="MEDIUM","GA-006",""))))))</x:f>
        <x:v>GA-002</x:v>
      </x:c>
      <x:c r="I25" t="str">
        <x:f>IF(G25="DATA_INCOMPLETE","CRITICAL",IF(D25="CRITICAL","CRITICAL",IF(OR(B25="HIGH",C25="HIGH",E25="HIGH"),"HIGH",IF(F25="MEDIUM","MEDIUM","NORMAL"))))</x:f>
        <x:v>CRITICAL</x:v>
      </x:c>
    </x:row>
    <x:row r="26">
      <x:c r="A26" s="15" t="n">
        <x:v>46198</x:v>
      </x:c>
      <x:c r="B26" t="str">
        <x:f>IF(Daily_Operations!U26="DATA_INCOMPLETE","BLOCKED",IF(Daily_Operations!G26&gt;=0.33,"HIGH","OK"))</x:f>
        <x:v>OK</x:v>
      </x:c>
      <x:c r="C26" t="str">
        <x:f>IF(Daily_Operations!U26="DATA_INCOMPLETE","BLOCKED",IF(Daily_Operations!I26&gt;=0.39,"HIGH","OK"))</x:f>
        <x:v>OK</x:v>
      </x:c>
      <x:c r="D26" t="str">
        <x:f>IF(Daily_Operations!U26="DATA_INCOMPLETE","BLOCKED",IF(Daily_Operations!P26&lt;=-5,"CRITICAL","OK"))</x:f>
        <x:v>OK</x:v>
      </x:c>
      <x:c r="E26" t="str">
        <x:f>IF(Daily_Operations!U26="DATA_INCOMPLETE","BLOCKED",IFERROR(IF(Daily_Operations!M26/Daily_Operations!K26&gt;=0.05,"HIGH","OK"),"BLOCKED"))</x:f>
        <x:v>OK</x:v>
      </x:c>
      <x:c r="F26" t="str">
        <x:f>IF(Daily_Operations!U26="DATA_INCOMPLETE","BLOCKED",IF(OR(Daily_Operations!S26&gt;=5,Daily_Operations!R26&lt;4.2),"MEDIUM","OK"))</x:f>
        <x:v>OK</x:v>
      </x:c>
      <x:c r="G26" t="str">
        <x:f>IF(Daily_Operations!U26="DATA_INCOMPLETE","DATA_INCOMPLETE","OK")</x:f>
        <x:v>OK</x:v>
      </x:c>
      <x:c r="H26" t="str">
        <x:f>IF(G26="DATA_INCOMPLETE","GA-007",IF(D26="CRITICAL","GA-002",IF(B26="HIGH","GA-001",IF(C26="HIGH",Daily_Operations!V26,IF(E26="HIGH","GA-004",IF(F26="MEDIUM","GA-006",""))))))</x:f>
      </x:c>
      <x:c r="I26" t="str">
        <x:f>IF(G26="DATA_INCOMPLETE","CRITICAL",IF(D26="CRITICAL","CRITICAL",IF(OR(B26="HIGH",C26="HIGH",E26="HIGH"),"HIGH",IF(F26="MEDIUM","MEDIUM","NORMAL"))))</x:f>
        <x:v>NORMAL</x:v>
      </x:c>
    </x:row>
    <x:row r="27">
      <x:c r="A27" s="15" t="n">
        <x:v>46199</x:v>
      </x:c>
      <x:c r="B27" t="str">
        <x:f>IF(Daily_Operations!U27="DATA_INCOMPLETE","BLOCKED",IF(Daily_Operations!G27&gt;=0.33,"HIGH","OK"))</x:f>
        <x:v>OK</x:v>
      </x:c>
      <x:c r="C27" t="str">
        <x:f>IF(Daily_Operations!U27="DATA_INCOMPLETE","BLOCKED",IF(Daily_Operations!I27&gt;=0.39,"HIGH","OK"))</x:f>
        <x:v>OK</x:v>
      </x:c>
      <x:c r="D27" t="str">
        <x:f>IF(Daily_Operations!U27="DATA_INCOMPLETE","BLOCKED",IF(Daily_Operations!P27&lt;=-5,"CRITICAL","OK"))</x:f>
        <x:v>OK</x:v>
      </x:c>
      <x:c r="E27" t="str">
        <x:f>IF(Daily_Operations!U27="DATA_INCOMPLETE","BLOCKED",IFERROR(IF(Daily_Operations!M27/Daily_Operations!K27&gt;=0.05,"HIGH","OK"),"BLOCKED"))</x:f>
        <x:v>OK</x:v>
      </x:c>
      <x:c r="F27" t="str">
        <x:f>IF(Daily_Operations!U27="DATA_INCOMPLETE","BLOCKED",IF(OR(Daily_Operations!S27&gt;=5,Daily_Operations!R27&lt;4.2),"MEDIUM","OK"))</x:f>
        <x:v>OK</x:v>
      </x:c>
      <x:c r="G27" t="str">
        <x:f>IF(Daily_Operations!U27="DATA_INCOMPLETE","DATA_INCOMPLETE","OK")</x:f>
        <x:v>OK</x:v>
      </x:c>
      <x:c r="H27" t="str">
        <x:f>IF(G27="DATA_INCOMPLETE","GA-007",IF(D27="CRITICAL","GA-002",IF(B27="HIGH","GA-001",IF(C27="HIGH",Daily_Operations!V27,IF(E27="HIGH","GA-004",IF(F27="MEDIUM","GA-006",""))))))</x:f>
      </x:c>
      <x:c r="I27" t="str">
        <x:f>IF(G27="DATA_INCOMPLETE","CRITICAL",IF(D27="CRITICAL","CRITICAL",IF(OR(B27="HIGH",C27="HIGH",E27="HIGH"),"HIGH",IF(F27="MEDIUM","MEDIUM","NORMAL"))))</x:f>
        <x:v>NORMAL</x:v>
      </x:c>
    </x:row>
    <x:row r="28">
      <x:c r="A28" s="15" t="n">
        <x:v>46200</x:v>
      </x:c>
      <x:c r="B28" t="str">
        <x:f>IF(Daily_Operations!U28="DATA_INCOMPLETE","BLOCKED",IF(Daily_Operations!G28&gt;=0.33,"HIGH","OK"))</x:f>
        <x:v>OK</x:v>
      </x:c>
      <x:c r="C28" t="str">
        <x:f>IF(Daily_Operations!U28="DATA_INCOMPLETE","BLOCKED",IF(Daily_Operations!I28&gt;=0.39,"HIGH","OK"))</x:f>
        <x:v>OK</x:v>
      </x:c>
      <x:c r="D28" t="str">
        <x:f>IF(Daily_Operations!U28="DATA_INCOMPLETE","BLOCKED",IF(Daily_Operations!P28&lt;=-5,"CRITICAL","OK"))</x:f>
        <x:v>OK</x:v>
      </x:c>
      <x:c r="E28" t="str">
        <x:f>IF(Daily_Operations!U28="DATA_INCOMPLETE","BLOCKED",IFERROR(IF(Daily_Operations!M28/Daily_Operations!K28&gt;=0.05,"HIGH","OK"),"BLOCKED"))</x:f>
        <x:v>OK</x:v>
      </x:c>
      <x:c r="F28" t="str">
        <x:f>IF(Daily_Operations!U28="DATA_INCOMPLETE","BLOCKED",IF(OR(Daily_Operations!S28&gt;=5,Daily_Operations!R28&lt;4.2),"MEDIUM","OK"))</x:f>
        <x:v>OK</x:v>
      </x:c>
      <x:c r="G28" t="str">
        <x:f>IF(Daily_Operations!U28="DATA_INCOMPLETE","DATA_INCOMPLETE","OK")</x:f>
        <x:v>OK</x:v>
      </x:c>
      <x:c r="H28" t="str">
        <x:f>IF(G28="DATA_INCOMPLETE","GA-007",IF(D28="CRITICAL","GA-002",IF(B28="HIGH","GA-001",IF(C28="HIGH",Daily_Operations!V28,IF(E28="HIGH","GA-004",IF(F28="MEDIUM","GA-006",""))))))</x:f>
      </x:c>
      <x:c r="I28" t="str">
        <x:f>IF(G28="DATA_INCOMPLETE","CRITICAL",IF(D28="CRITICAL","CRITICAL",IF(OR(B28="HIGH",C28="HIGH",E28="HIGH"),"HIGH",IF(F28="MEDIUM","MEDIUM","NORMAL"))))</x:f>
        <x:v>NORMAL</x:v>
      </x:c>
    </x:row>
    <x:row r="29">
      <x:c r="A29" s="15" t="n">
        <x:v>46201</x:v>
      </x:c>
      <x:c r="B29" t="str">
        <x:f>IF(Daily_Operations!U29="DATA_INCOMPLETE","BLOCKED",IF(Daily_Operations!G29&gt;=0.33,"HIGH","OK"))</x:f>
        <x:v>OK</x:v>
      </x:c>
      <x:c r="C29" t="str">
        <x:f>IF(Daily_Operations!U29="DATA_INCOMPLETE","BLOCKED",IF(Daily_Operations!I29&gt;=0.39,"HIGH","OK"))</x:f>
        <x:v>OK</x:v>
      </x:c>
      <x:c r="D29" t="str">
        <x:f>IF(Daily_Operations!U29="DATA_INCOMPLETE","BLOCKED",IF(Daily_Operations!P29&lt;=-5,"CRITICAL","OK"))</x:f>
        <x:v>OK</x:v>
      </x:c>
      <x:c r="E29" t="str">
        <x:f>IF(Daily_Operations!U29="DATA_INCOMPLETE","BLOCKED",IFERROR(IF(Daily_Operations!M29/Daily_Operations!K29&gt;=0.05,"HIGH","OK"),"BLOCKED"))</x:f>
        <x:v>OK</x:v>
      </x:c>
      <x:c r="F29" t="str">
        <x:f>IF(Daily_Operations!U29="DATA_INCOMPLETE","BLOCKED",IF(OR(Daily_Operations!S29&gt;=5,Daily_Operations!R29&lt;4.2),"MEDIUM","OK"))</x:f>
        <x:v>OK</x:v>
      </x:c>
      <x:c r="G29" t="str">
        <x:f>IF(Daily_Operations!U29="DATA_INCOMPLETE","DATA_INCOMPLETE","OK")</x:f>
        <x:v>OK</x:v>
      </x:c>
      <x:c r="H29" t="str">
        <x:f>IF(G29="DATA_INCOMPLETE","GA-007",IF(D29="CRITICAL","GA-002",IF(B29="HIGH","GA-001",IF(C29="HIGH",Daily_Operations!V29,IF(E29="HIGH","GA-004",IF(F29="MEDIUM","GA-006",""))))))</x:f>
      </x:c>
      <x:c r="I29" t="str">
        <x:f>IF(G29="DATA_INCOMPLETE","CRITICAL",IF(D29="CRITICAL","CRITICAL",IF(OR(B29="HIGH",C29="HIGH",E29="HIGH"),"HIGH",IF(F29="MEDIUM","MEDIUM","NORMAL"))))</x:f>
        <x:v>NORMAL</x:v>
      </x:c>
    </x:row>
    <x:row r="30">
      <x:c r="A30" s="15" t="n">
        <x:v>46202</x:v>
      </x:c>
      <x:c r="B30" t="str">
        <x:f>IF(Daily_Operations!U30="DATA_INCOMPLETE","BLOCKED",IF(Daily_Operations!G30&gt;=0.33,"HIGH","OK"))</x:f>
        <x:v>OK</x:v>
      </x:c>
      <x:c r="C30" t="str">
        <x:f>IF(Daily_Operations!U30="DATA_INCOMPLETE","BLOCKED",IF(Daily_Operations!I30&gt;=0.39,"HIGH","OK"))</x:f>
        <x:v>OK</x:v>
      </x:c>
      <x:c r="D30" t="str">
        <x:f>IF(Daily_Operations!U30="DATA_INCOMPLETE","BLOCKED",IF(Daily_Operations!P30&lt;=-5,"CRITICAL","OK"))</x:f>
        <x:v>OK</x:v>
      </x:c>
      <x:c r="E30" t="str">
        <x:f>IF(Daily_Operations!U30="DATA_INCOMPLETE","BLOCKED",IFERROR(IF(Daily_Operations!M30/Daily_Operations!K30&gt;=0.05,"HIGH","OK"),"BLOCKED"))</x:f>
        <x:v>OK</x:v>
      </x:c>
      <x:c r="F30" t="str">
        <x:f>IF(Daily_Operations!U30="DATA_INCOMPLETE","BLOCKED",IF(OR(Daily_Operations!S30&gt;=5,Daily_Operations!R30&lt;4.2),"MEDIUM","OK"))</x:f>
        <x:v>OK</x:v>
      </x:c>
      <x:c r="G30" t="str">
        <x:f>IF(Daily_Operations!U30="DATA_INCOMPLETE","DATA_INCOMPLETE","OK")</x:f>
        <x:v>OK</x:v>
      </x:c>
      <x:c r="H30" t="str">
        <x:f>IF(G30="DATA_INCOMPLETE","GA-007",IF(D30="CRITICAL","GA-002",IF(B30="HIGH","GA-001",IF(C30="HIGH",Daily_Operations!V30,IF(E30="HIGH","GA-004",IF(F30="MEDIUM","GA-006",""))))))</x:f>
      </x:c>
      <x:c r="I30" t="str">
        <x:f>IF(G30="DATA_INCOMPLETE","CRITICAL",IF(D30="CRITICAL","CRITICAL",IF(OR(B30="HIGH",C30="HIGH",E30="HIGH"),"HIGH",IF(F30="MEDIUM","MEDIUM","NORMAL"))))</x:f>
        <x:v>NORMAL</x:v>
      </x:c>
    </x:row>
    <x:row r="31">
      <x:c r="A31" s="15" t="n">
        <x:v>46203</x:v>
      </x:c>
      <x:c r="B31" t="str">
        <x:f>IF(Daily_Operations!U31="DATA_INCOMPLETE","BLOCKED",IF(Daily_Operations!G31&gt;=0.33,"HIGH","OK"))</x:f>
        <x:v>OK</x:v>
      </x:c>
      <x:c r="C31" t="str">
        <x:f>IF(Daily_Operations!U31="DATA_INCOMPLETE","BLOCKED",IF(Daily_Operations!I31&gt;=0.39,"HIGH","OK"))</x:f>
        <x:v>OK</x:v>
      </x:c>
      <x:c r="D31" t="str">
        <x:f>IF(Daily_Operations!U31="DATA_INCOMPLETE","BLOCKED",IF(Daily_Operations!P31&lt;=-5,"CRITICAL","OK"))</x:f>
        <x:v>OK</x:v>
      </x:c>
      <x:c r="E31" t="str">
        <x:f>IF(Daily_Operations!U31="DATA_INCOMPLETE","BLOCKED",IFERROR(IF(Daily_Operations!M31/Daily_Operations!K31&gt;=0.05,"HIGH","OK"),"BLOCKED"))</x:f>
        <x:v>OK</x:v>
      </x:c>
      <x:c r="F31" t="str">
        <x:f>IF(Daily_Operations!U31="DATA_INCOMPLETE","BLOCKED",IF(OR(Daily_Operations!S31&gt;=5,Daily_Operations!R31&lt;4.2),"MEDIUM","OK"))</x:f>
        <x:v>OK</x:v>
      </x:c>
      <x:c r="G31" t="str">
        <x:f>IF(Daily_Operations!U31="DATA_INCOMPLETE","DATA_INCOMPLETE","OK")</x:f>
        <x:v>OK</x:v>
      </x:c>
      <x:c r="H31" t="str">
        <x:f>IF(G31="DATA_INCOMPLETE","GA-007",IF(D31="CRITICAL","GA-002",IF(B31="HIGH","GA-001",IF(C31="HIGH",Daily_Operations!V31,IF(E31="HIGH","GA-004",IF(F31="MEDIUM","GA-006",""))))))</x:f>
      </x:c>
      <x:c r="I31" t="str">
        <x:f>IF(G31="DATA_INCOMPLETE","CRITICAL",IF(D31="CRITICAL","CRITICAL",IF(OR(B31="HIGH",C31="HIGH",E31="HIGH"),"HIGH",IF(F31="MEDIUM","MEDIUM","NORMAL"))))</x:f>
        <x:v>NORMAL</x:v>
      </x:c>
    </x:row>
    <x:row r="32">
      <x:c r="A32" s="15" t="n">
        <x:v>46204</x:v>
      </x:c>
      <x:c r="B32" t="str">
        <x:f>IF(Daily_Operations!U32="DATA_INCOMPLETE","BLOCKED",IF(Daily_Operations!G32&gt;=0.33,"HIGH","OK"))</x:f>
        <x:v>OK</x:v>
      </x:c>
      <x:c r="C32" t="str">
        <x:f>IF(Daily_Operations!U32="DATA_INCOMPLETE","BLOCKED",IF(Daily_Operations!I32&gt;=0.39,"HIGH","OK"))</x:f>
        <x:v>OK</x:v>
      </x:c>
      <x:c r="D32" t="str">
        <x:f>IF(Daily_Operations!U32="DATA_INCOMPLETE","BLOCKED",IF(Daily_Operations!P32&lt;=-5,"CRITICAL","OK"))</x:f>
        <x:v>OK</x:v>
      </x:c>
      <x:c r="E32" t="str">
        <x:f>IF(Daily_Operations!U32="DATA_INCOMPLETE","BLOCKED",IFERROR(IF(Daily_Operations!M32/Daily_Operations!K32&gt;=0.05,"HIGH","OK"),"BLOCKED"))</x:f>
        <x:v>OK</x:v>
      </x:c>
      <x:c r="F32" t="str">
        <x:f>IF(Daily_Operations!U32="DATA_INCOMPLETE","BLOCKED",IF(OR(Daily_Operations!S32&gt;=5,Daily_Operations!R32&lt;4.2),"MEDIUM","OK"))</x:f>
        <x:v>OK</x:v>
      </x:c>
      <x:c r="G32" t="str">
        <x:f>IF(Daily_Operations!U32="DATA_INCOMPLETE","DATA_INCOMPLETE","OK")</x:f>
        <x:v>OK</x:v>
      </x:c>
      <x:c r="H32" t="str">
        <x:f>IF(G32="DATA_INCOMPLETE","GA-007",IF(D32="CRITICAL","GA-002",IF(B32="HIGH","GA-001",IF(C32="HIGH",Daily_Operations!V32,IF(E32="HIGH","GA-004",IF(F32="MEDIUM","GA-006",""))))))</x:f>
      </x:c>
      <x:c r="I32" t="str">
        <x:f>IF(G32="DATA_INCOMPLETE","CRITICAL",IF(D32="CRITICAL","CRITICAL",IF(OR(B32="HIGH",C32="HIGH",E32="HIGH"),"HIGH",IF(F32="MEDIUM","MEDIUM","NORMAL"))))</x:f>
        <x:v>NORMAL</x:v>
      </x:c>
    </x:row>
    <x:row r="33">
      <x:c r="A33" s="15" t="n">
        <x:v>46205</x:v>
      </x:c>
      <x:c r="B33" t="str">
        <x:f>IF(Daily_Operations!U33="DATA_INCOMPLETE","BLOCKED",IF(Daily_Operations!G33&gt;=0.33,"HIGH","OK"))</x:f>
        <x:v>OK</x:v>
      </x:c>
      <x:c r="C33" t="str">
        <x:f>IF(Daily_Operations!U33="DATA_INCOMPLETE","BLOCKED",IF(Daily_Operations!I33&gt;=0.39,"HIGH","OK"))</x:f>
        <x:v>OK</x:v>
      </x:c>
      <x:c r="D33" t="str">
        <x:f>IF(Daily_Operations!U33="DATA_INCOMPLETE","BLOCKED",IF(Daily_Operations!P33&lt;=-5,"CRITICAL","OK"))</x:f>
        <x:v>OK</x:v>
      </x:c>
      <x:c r="E33" t="str">
        <x:f>IF(Daily_Operations!U33="DATA_INCOMPLETE","BLOCKED",IFERROR(IF(Daily_Operations!M33/Daily_Operations!K33&gt;=0.05,"HIGH","OK"),"BLOCKED"))</x:f>
        <x:v>OK</x:v>
      </x:c>
      <x:c r="F33" t="str">
        <x:f>IF(Daily_Operations!U33="DATA_INCOMPLETE","BLOCKED",IF(OR(Daily_Operations!S33&gt;=5,Daily_Operations!R33&lt;4.2),"MEDIUM","OK"))</x:f>
        <x:v>OK</x:v>
      </x:c>
      <x:c r="G33" t="str">
        <x:f>IF(Daily_Operations!U33="DATA_INCOMPLETE","DATA_INCOMPLETE","OK")</x:f>
        <x:v>OK</x:v>
      </x:c>
      <x:c r="H33" t="str">
        <x:f>IF(G33="DATA_INCOMPLETE","GA-007",IF(D33="CRITICAL","GA-002",IF(B33="HIGH","GA-001",IF(C33="HIGH",Daily_Operations!V33,IF(E33="HIGH","GA-004",IF(F33="MEDIUM","GA-006",""))))))</x:f>
      </x:c>
      <x:c r="I33" t="str">
        <x:f>IF(G33="DATA_INCOMPLETE","CRITICAL",IF(D33="CRITICAL","CRITICAL",IF(OR(B33="HIGH",C33="HIGH",E33="HIGH"),"HIGH",IF(F33="MEDIUM","MEDIUM","NORMAL"))))</x:f>
        <x:v>NORMAL</x:v>
      </x:c>
    </x:row>
    <x:row r="34">
      <x:c r="A34" s="15" t="n">
        <x:v>46206</x:v>
      </x:c>
      <x:c r="B34" t="str">
        <x:f>IF(Daily_Operations!U34="DATA_INCOMPLETE","BLOCKED",IF(Daily_Operations!G34&gt;=0.33,"HIGH","OK"))</x:f>
        <x:v>OK</x:v>
      </x:c>
      <x:c r="C34" t="str">
        <x:f>IF(Daily_Operations!U34="DATA_INCOMPLETE","BLOCKED",IF(Daily_Operations!I34&gt;=0.39,"HIGH","OK"))</x:f>
        <x:v>OK</x:v>
      </x:c>
      <x:c r="D34" t="str">
        <x:f>IF(Daily_Operations!U34="DATA_INCOMPLETE","BLOCKED",IF(Daily_Operations!P34&lt;=-5,"CRITICAL","OK"))</x:f>
        <x:v>OK</x:v>
      </x:c>
      <x:c r="E34" t="str">
        <x:f>IF(Daily_Operations!U34="DATA_INCOMPLETE","BLOCKED",IFERROR(IF(Daily_Operations!M34/Daily_Operations!K34&gt;=0.05,"HIGH","OK"),"BLOCKED"))</x:f>
        <x:v>OK</x:v>
      </x:c>
      <x:c r="F34" t="str">
        <x:f>IF(Daily_Operations!U34="DATA_INCOMPLETE","BLOCKED",IF(OR(Daily_Operations!S34&gt;=5,Daily_Operations!R34&lt;4.2),"MEDIUM","OK"))</x:f>
        <x:v>OK</x:v>
      </x:c>
      <x:c r="G34" t="str">
        <x:f>IF(Daily_Operations!U34="DATA_INCOMPLETE","DATA_INCOMPLETE","OK")</x:f>
        <x:v>OK</x:v>
      </x:c>
      <x:c r="H34" t="str">
        <x:f>IF(G34="DATA_INCOMPLETE","GA-007",IF(D34="CRITICAL","GA-002",IF(B34="HIGH","GA-001",IF(C34="HIGH",Daily_Operations!V34,IF(E34="HIGH","GA-004",IF(F34="MEDIUM","GA-006",""))))))</x:f>
      </x:c>
      <x:c r="I34" t="str">
        <x:f>IF(G34="DATA_INCOMPLETE","CRITICAL",IF(D34="CRITICAL","CRITICAL",IF(OR(B34="HIGH",C34="HIGH",E34="HIGH"),"HIGH",IF(F34="MEDIUM","MEDIUM","NORMAL"))))</x:f>
        <x:v>NORMAL</x:v>
      </x:c>
    </x:row>
    <x:row r="35">
      <x:c r="A35" s="15" t="n">
        <x:v>46207</x:v>
      </x:c>
      <x:c r="B35" t="str">
        <x:f>IF(Daily_Operations!U35="DATA_INCOMPLETE","BLOCKED",IF(Daily_Operations!G35&gt;=0.33,"HIGH","OK"))</x:f>
        <x:v>OK</x:v>
      </x:c>
      <x:c r="C35" t="str">
        <x:f>IF(Daily_Operations!U35="DATA_INCOMPLETE","BLOCKED",IF(Daily_Operations!I35&gt;=0.39,"HIGH","OK"))</x:f>
        <x:v>OK</x:v>
      </x:c>
      <x:c r="D35" t="str">
        <x:f>IF(Daily_Operations!U35="DATA_INCOMPLETE","BLOCKED",IF(Daily_Operations!P35&lt;=-5,"CRITICAL","OK"))</x:f>
        <x:v>OK</x:v>
      </x:c>
      <x:c r="E35" t="str">
        <x:f>IF(Daily_Operations!U35="DATA_INCOMPLETE","BLOCKED",IFERROR(IF(Daily_Operations!M35/Daily_Operations!K35&gt;=0.05,"HIGH","OK"),"BLOCKED"))</x:f>
        <x:v>OK</x:v>
      </x:c>
      <x:c r="F35" t="str">
        <x:f>IF(Daily_Operations!U35="DATA_INCOMPLETE","BLOCKED",IF(OR(Daily_Operations!S35&gt;=5,Daily_Operations!R35&lt;4.2),"MEDIUM","OK"))</x:f>
        <x:v>OK</x:v>
      </x:c>
      <x:c r="G35" t="str">
        <x:f>IF(Daily_Operations!U35="DATA_INCOMPLETE","DATA_INCOMPLETE","OK")</x:f>
        <x:v>OK</x:v>
      </x:c>
      <x:c r="H35" t="str">
        <x:f>IF(G35="DATA_INCOMPLETE","GA-007",IF(D35="CRITICAL","GA-002",IF(B35="HIGH","GA-001",IF(C35="HIGH",Daily_Operations!V35,IF(E35="HIGH","GA-004",IF(F35="MEDIUM","GA-006",""))))))</x:f>
      </x:c>
      <x:c r="I35" t="str">
        <x:f>IF(G35="DATA_INCOMPLETE","CRITICAL",IF(D35="CRITICAL","CRITICAL",IF(OR(B35="HIGH",C35="HIGH",E35="HIGH"),"HIGH",IF(F35="MEDIUM","MEDIUM","NORMAL"))))</x:f>
        <x:v>NORMAL</x:v>
      </x:c>
    </x:row>
    <x:row r="36">
      <x:c r="A36" s="15" t="n">
        <x:v>46208</x:v>
      </x:c>
      <x:c r="B36" t="str">
        <x:f>IF(Daily_Operations!U36="DATA_INCOMPLETE","BLOCKED",IF(Daily_Operations!G36&gt;=0.33,"HIGH","OK"))</x:f>
        <x:v>OK</x:v>
      </x:c>
      <x:c r="C36" t="str">
        <x:f>IF(Daily_Operations!U36="DATA_INCOMPLETE","BLOCKED",IF(Daily_Operations!I36&gt;=0.39,"HIGH","OK"))</x:f>
        <x:v>OK</x:v>
      </x:c>
      <x:c r="D36" t="str">
        <x:f>IF(Daily_Operations!U36="DATA_INCOMPLETE","BLOCKED",IF(Daily_Operations!P36&lt;=-5,"CRITICAL","OK"))</x:f>
        <x:v>OK</x:v>
      </x:c>
      <x:c r="E36" t="str">
        <x:f>IF(Daily_Operations!U36="DATA_INCOMPLETE","BLOCKED",IFERROR(IF(Daily_Operations!M36/Daily_Operations!K36&gt;=0.05,"HIGH","OK"),"BLOCKED"))</x:f>
        <x:v>OK</x:v>
      </x:c>
      <x:c r="F36" t="str">
        <x:f>IF(Daily_Operations!U36="DATA_INCOMPLETE","BLOCKED",IF(OR(Daily_Operations!S36&gt;=5,Daily_Operations!R36&lt;4.2),"MEDIUM","OK"))</x:f>
        <x:v>OK</x:v>
      </x:c>
      <x:c r="G36" t="str">
        <x:f>IF(Daily_Operations!U36="DATA_INCOMPLETE","DATA_INCOMPLETE","OK")</x:f>
        <x:v>OK</x:v>
      </x:c>
      <x:c r="H36" t="str">
        <x:f>IF(G36="DATA_INCOMPLETE","GA-007",IF(D36="CRITICAL","GA-002",IF(B36="HIGH","GA-001",IF(C36="HIGH",Daily_Operations!V36,IF(E36="HIGH","GA-004",IF(F36="MEDIUM","GA-006",""))))))</x:f>
      </x:c>
      <x:c r="I36" t="str">
        <x:f>IF(G36="DATA_INCOMPLETE","CRITICAL",IF(D36="CRITICAL","CRITICAL",IF(OR(B36="HIGH",C36="HIGH",E36="HIGH"),"HIGH",IF(F36="MEDIUM","MEDIUM","NORMAL"))))</x:f>
        <x:v>NORMAL</x:v>
      </x:c>
    </x:row>
    <x:row r="37">
      <x:c r="A37" s="15" t="n">
        <x:v>46209</x:v>
      </x:c>
      <x:c r="B37" t="str">
        <x:f>IF(Daily_Operations!U37="DATA_INCOMPLETE","BLOCKED",IF(Daily_Operations!G37&gt;=0.33,"HIGH","OK"))</x:f>
        <x:v>OK</x:v>
      </x:c>
      <x:c r="C37" t="str">
        <x:f>IF(Daily_Operations!U37="DATA_INCOMPLETE","BLOCKED",IF(Daily_Operations!I37&gt;=0.39,"HIGH","OK"))</x:f>
        <x:v>OK</x:v>
      </x:c>
      <x:c r="D37" t="str">
        <x:f>IF(Daily_Operations!U37="DATA_INCOMPLETE","BLOCKED",IF(Daily_Operations!P37&lt;=-5,"CRITICAL","OK"))</x:f>
        <x:v>OK</x:v>
      </x:c>
      <x:c r="E37" t="str">
        <x:f>IF(Daily_Operations!U37="DATA_INCOMPLETE","BLOCKED",IFERROR(IF(Daily_Operations!M37/Daily_Operations!K37&gt;=0.05,"HIGH","OK"),"BLOCKED"))</x:f>
        <x:v>OK</x:v>
      </x:c>
      <x:c r="F37" t="str">
        <x:f>IF(Daily_Operations!U37="DATA_INCOMPLETE","BLOCKED",IF(OR(Daily_Operations!S37&gt;=5,Daily_Operations!R37&lt;4.2),"MEDIUM","OK"))</x:f>
        <x:v>OK</x:v>
      </x:c>
      <x:c r="G37" t="str">
        <x:f>IF(Daily_Operations!U37="DATA_INCOMPLETE","DATA_INCOMPLETE","OK")</x:f>
        <x:v>OK</x:v>
      </x:c>
      <x:c r="H37" t="str">
        <x:f>IF(G37="DATA_INCOMPLETE","GA-007",IF(D37="CRITICAL","GA-002",IF(B37="HIGH","GA-001",IF(C37="HIGH",Daily_Operations!V37,IF(E37="HIGH","GA-004",IF(F37="MEDIUM","GA-006",""))))))</x:f>
      </x:c>
      <x:c r="I37" t="str">
        <x:f>IF(G37="DATA_INCOMPLETE","CRITICAL",IF(D37="CRITICAL","CRITICAL",IF(OR(B37="HIGH",C37="HIGH",E37="HIGH"),"HIGH",IF(F37="MEDIUM","MEDIUM","NORMAL"))))</x:f>
        <x:v>NORMAL</x:v>
      </x:c>
    </x:row>
    <x:row r="38">
      <x:c r="A38" s="15" t="n">
        <x:v>46210</x:v>
      </x:c>
      <x:c r="B38" t="str">
        <x:f>IF(Daily_Operations!U38="DATA_INCOMPLETE","BLOCKED",IF(Daily_Operations!G38&gt;=0.33,"HIGH","OK"))</x:f>
        <x:v>OK</x:v>
      </x:c>
      <x:c r="C38" t="str">
        <x:f>IF(Daily_Operations!U38="DATA_INCOMPLETE","BLOCKED",IF(Daily_Operations!I38&gt;=0.39,"HIGH","OK"))</x:f>
        <x:v>HIGH</x:v>
      </x:c>
      <x:c r="D38" t="str">
        <x:f>IF(Daily_Operations!U38="DATA_INCOMPLETE","BLOCKED",IF(Daily_Operations!P38&lt;=-5,"CRITICAL","OK"))</x:f>
        <x:v>OK</x:v>
      </x:c>
      <x:c r="E38" t="str">
        <x:f>IF(Daily_Operations!U38="DATA_INCOMPLETE","BLOCKED",IFERROR(IF(Daily_Operations!M38/Daily_Operations!K38&gt;=0.05,"HIGH","OK"),"BLOCKED"))</x:f>
        <x:v>OK</x:v>
      </x:c>
      <x:c r="F38" t="str">
        <x:f>IF(Daily_Operations!U38="DATA_INCOMPLETE","BLOCKED",IF(OR(Daily_Operations!S38&gt;=5,Daily_Operations!R38&lt;4.2),"MEDIUM","OK"))</x:f>
        <x:v>OK</x:v>
      </x:c>
      <x:c r="G38" t="str">
        <x:f>IF(Daily_Operations!U38="DATA_INCOMPLETE","DATA_INCOMPLETE","OK")</x:f>
        <x:v>OK</x:v>
      </x:c>
      <x:c r="H38" t="str">
        <x:f>IF(G38="DATA_INCOMPLETE","GA-007",IF(D38="CRITICAL","GA-002",IF(B38="HIGH","GA-001",IF(C38="HIGH",Daily_Operations!V38,IF(E38="HIGH","GA-004",IF(F38="MEDIUM","GA-006",""))))))</x:f>
        <x:v>GA-003</x:v>
      </x:c>
      <x:c r="I38" t="str">
        <x:f>IF(G38="DATA_INCOMPLETE","CRITICAL",IF(D38="CRITICAL","CRITICAL",IF(OR(B38="HIGH",C38="HIGH",E38="HIGH"),"HIGH",IF(F38="MEDIUM","MEDIUM","NORMAL"))))</x:f>
        <x:v>HIGH</x:v>
      </x:c>
    </x:row>
    <x:row r="39">
      <x:c r="A39" s="15" t="n">
        <x:v>46211</x:v>
      </x:c>
      <x:c r="B39" t="str">
        <x:f>IF(Daily_Operations!U39="DATA_INCOMPLETE","BLOCKED",IF(Daily_Operations!G39&gt;=0.33,"HIGH","OK"))</x:f>
        <x:v>OK</x:v>
      </x:c>
      <x:c r="C39" t="str">
        <x:f>IF(Daily_Operations!U39="DATA_INCOMPLETE","BLOCKED",IF(Daily_Operations!I39&gt;=0.39,"HIGH","OK"))</x:f>
        <x:v>HIGH</x:v>
      </x:c>
      <x:c r="D39" t="str">
        <x:f>IF(Daily_Operations!U39="DATA_INCOMPLETE","BLOCKED",IF(Daily_Operations!P39&lt;=-5,"CRITICAL","OK"))</x:f>
        <x:v>OK</x:v>
      </x:c>
      <x:c r="E39" t="str">
        <x:f>IF(Daily_Operations!U39="DATA_INCOMPLETE","BLOCKED",IFERROR(IF(Daily_Operations!M39/Daily_Operations!K39&gt;=0.05,"HIGH","OK"),"BLOCKED"))</x:f>
        <x:v>OK</x:v>
      </x:c>
      <x:c r="F39" t="str">
        <x:f>IF(Daily_Operations!U39="DATA_INCOMPLETE","BLOCKED",IF(OR(Daily_Operations!S39&gt;=5,Daily_Operations!R39&lt;4.2),"MEDIUM","OK"))</x:f>
        <x:v>OK</x:v>
      </x:c>
      <x:c r="G39" t="str">
        <x:f>IF(Daily_Operations!U39="DATA_INCOMPLETE","DATA_INCOMPLETE","OK")</x:f>
        <x:v>OK</x:v>
      </x:c>
      <x:c r="H39" t="str">
        <x:f>IF(G39="DATA_INCOMPLETE","GA-007",IF(D39="CRITICAL","GA-002",IF(B39="HIGH","GA-001",IF(C39="HIGH",Daily_Operations!V39,IF(E39="HIGH","GA-004",IF(F39="MEDIUM","GA-006",""))))))</x:f>
        <x:v>GA-003</x:v>
      </x:c>
      <x:c r="I39" t="str">
        <x:f>IF(G39="DATA_INCOMPLETE","CRITICAL",IF(D39="CRITICAL","CRITICAL",IF(OR(B39="HIGH",C39="HIGH",E39="HIGH"),"HIGH",IF(F39="MEDIUM","MEDIUM","NORMAL"))))</x:f>
        <x:v>HIGH</x:v>
      </x:c>
    </x:row>
    <x:row r="40">
      <x:c r="A40" s="15" t="n">
        <x:v>46212</x:v>
      </x:c>
      <x:c r="B40" t="str">
        <x:f>IF(Daily_Operations!U40="DATA_INCOMPLETE","BLOCKED",IF(Daily_Operations!G40&gt;=0.33,"HIGH","OK"))</x:f>
        <x:v>OK</x:v>
      </x:c>
      <x:c r="C40" t="str">
        <x:f>IF(Daily_Operations!U40="DATA_INCOMPLETE","BLOCKED",IF(Daily_Operations!I40&gt;=0.39,"HIGH","OK"))</x:f>
        <x:v>HIGH</x:v>
      </x:c>
      <x:c r="D40" t="str">
        <x:f>IF(Daily_Operations!U40="DATA_INCOMPLETE","BLOCKED",IF(Daily_Operations!P40&lt;=-5,"CRITICAL","OK"))</x:f>
        <x:v>OK</x:v>
      </x:c>
      <x:c r="E40" t="str">
        <x:f>IF(Daily_Operations!U40="DATA_INCOMPLETE","BLOCKED",IFERROR(IF(Daily_Operations!M40/Daily_Operations!K40&gt;=0.05,"HIGH","OK"),"BLOCKED"))</x:f>
        <x:v>OK</x:v>
      </x:c>
      <x:c r="F40" t="str">
        <x:f>IF(Daily_Operations!U40="DATA_INCOMPLETE","BLOCKED",IF(OR(Daily_Operations!S40&gt;=5,Daily_Operations!R40&lt;4.2),"MEDIUM","OK"))</x:f>
        <x:v>OK</x:v>
      </x:c>
      <x:c r="G40" t="str">
        <x:f>IF(Daily_Operations!U40="DATA_INCOMPLETE","DATA_INCOMPLETE","OK")</x:f>
        <x:v>OK</x:v>
      </x:c>
      <x:c r="H40" t="str">
        <x:f>IF(G40="DATA_INCOMPLETE","GA-007",IF(D40="CRITICAL","GA-002",IF(B40="HIGH","GA-001",IF(C40="HIGH",Daily_Operations!V40,IF(E40="HIGH","GA-004",IF(F40="MEDIUM","GA-006",""))))))</x:f>
        <x:v>GA-003</x:v>
      </x:c>
      <x:c r="I40" t="str">
        <x:f>IF(G40="DATA_INCOMPLETE","CRITICAL",IF(D40="CRITICAL","CRITICAL",IF(OR(B40="HIGH",C40="HIGH",E40="HIGH"),"HIGH",IF(F40="MEDIUM","MEDIUM","NORMAL"))))</x:f>
        <x:v>HIGH</x:v>
      </x:c>
    </x:row>
    <x:row r="41">
      <x:c r="A41" s="15" t="n">
        <x:v>46213</x:v>
      </x:c>
      <x:c r="B41" t="str">
        <x:f>IF(Daily_Operations!U41="DATA_INCOMPLETE","BLOCKED",IF(Daily_Operations!G41&gt;=0.33,"HIGH","OK"))</x:f>
        <x:v>OK</x:v>
      </x:c>
      <x:c r="C41" t="str">
        <x:f>IF(Daily_Operations!U41="DATA_INCOMPLETE","BLOCKED",IF(Daily_Operations!I41&gt;=0.39,"HIGH","OK"))</x:f>
        <x:v>HIGH</x:v>
      </x:c>
      <x:c r="D41" t="str">
        <x:f>IF(Daily_Operations!U41="DATA_INCOMPLETE","BLOCKED",IF(Daily_Operations!P41&lt;=-5,"CRITICAL","OK"))</x:f>
        <x:v>OK</x:v>
      </x:c>
      <x:c r="E41" t="str">
        <x:f>IF(Daily_Operations!U41="DATA_INCOMPLETE","BLOCKED",IFERROR(IF(Daily_Operations!M41/Daily_Operations!K41&gt;=0.05,"HIGH","OK"),"BLOCKED"))</x:f>
        <x:v>OK</x:v>
      </x:c>
      <x:c r="F41" t="str">
        <x:f>IF(Daily_Operations!U41="DATA_INCOMPLETE","BLOCKED",IF(OR(Daily_Operations!S41&gt;=5,Daily_Operations!R41&lt;4.2),"MEDIUM","OK"))</x:f>
        <x:v>OK</x:v>
      </x:c>
      <x:c r="G41" t="str">
        <x:f>IF(Daily_Operations!U41="DATA_INCOMPLETE","DATA_INCOMPLETE","OK")</x:f>
        <x:v>OK</x:v>
      </x:c>
      <x:c r="H41" t="str">
        <x:f>IF(G41="DATA_INCOMPLETE","GA-007",IF(D41="CRITICAL","GA-002",IF(B41="HIGH","GA-001",IF(C41="HIGH",Daily_Operations!V41,IF(E41="HIGH","GA-004",IF(F41="MEDIUM","GA-006",""))))))</x:f>
        <x:v>GA-003</x:v>
      </x:c>
      <x:c r="I41" t="str">
        <x:f>IF(G41="DATA_INCOMPLETE","CRITICAL",IF(D41="CRITICAL","CRITICAL",IF(OR(B41="HIGH",C41="HIGH",E41="HIGH"),"HIGH",IF(F41="MEDIUM","MEDIUM","NORMAL"))))</x:f>
        <x:v>HIGH</x:v>
      </x:c>
    </x:row>
    <x:row r="42">
      <x:c r="A42" s="15" t="n">
        <x:v>46214</x:v>
      </x:c>
      <x:c r="B42" t="str">
        <x:f>IF(Daily_Operations!U42="DATA_INCOMPLETE","BLOCKED",IF(Daily_Operations!G42&gt;=0.33,"HIGH","OK"))</x:f>
        <x:v>OK</x:v>
      </x:c>
      <x:c r="C42" t="str">
        <x:f>IF(Daily_Operations!U42="DATA_INCOMPLETE","BLOCKED",IF(Daily_Operations!I42&gt;=0.39,"HIGH","OK"))</x:f>
        <x:v>HIGH</x:v>
      </x:c>
      <x:c r="D42" t="str">
        <x:f>IF(Daily_Operations!U42="DATA_INCOMPLETE","BLOCKED",IF(Daily_Operations!P42&lt;=-5,"CRITICAL","OK"))</x:f>
        <x:v>OK</x:v>
      </x:c>
      <x:c r="E42" t="str">
        <x:f>IF(Daily_Operations!U42="DATA_INCOMPLETE","BLOCKED",IFERROR(IF(Daily_Operations!M42/Daily_Operations!K42&gt;=0.05,"HIGH","OK"),"BLOCKED"))</x:f>
        <x:v>OK</x:v>
      </x:c>
      <x:c r="F42" t="str">
        <x:f>IF(Daily_Operations!U42="DATA_INCOMPLETE","BLOCKED",IF(OR(Daily_Operations!S42&gt;=5,Daily_Operations!R42&lt;4.2),"MEDIUM","OK"))</x:f>
        <x:v>OK</x:v>
      </x:c>
      <x:c r="G42" t="str">
        <x:f>IF(Daily_Operations!U42="DATA_INCOMPLETE","DATA_INCOMPLETE","OK")</x:f>
        <x:v>OK</x:v>
      </x:c>
      <x:c r="H42" t="str">
        <x:f>IF(G42="DATA_INCOMPLETE","GA-007",IF(D42="CRITICAL","GA-002",IF(B42="HIGH","GA-001",IF(C42="HIGH",Daily_Operations!V42,IF(E42="HIGH","GA-004",IF(F42="MEDIUM","GA-006",""))))))</x:f>
        <x:v>GA-003</x:v>
      </x:c>
      <x:c r="I42" t="str">
        <x:f>IF(G42="DATA_INCOMPLETE","CRITICAL",IF(D42="CRITICAL","CRITICAL",IF(OR(B42="HIGH",C42="HIGH",E42="HIGH"),"HIGH",IF(F42="MEDIUM","MEDIUM","NORMAL"))))</x:f>
        <x:v>HIGH</x:v>
      </x:c>
    </x:row>
    <x:row r="43">
      <x:c r="A43" s="15" t="n">
        <x:v>46215</x:v>
      </x:c>
      <x:c r="B43" t="str">
        <x:f>IF(Daily_Operations!U43="DATA_INCOMPLETE","BLOCKED",IF(Daily_Operations!G43&gt;=0.33,"HIGH","OK"))</x:f>
        <x:v>OK</x:v>
      </x:c>
      <x:c r="C43" t="str">
        <x:f>IF(Daily_Operations!U43="DATA_INCOMPLETE","BLOCKED",IF(Daily_Operations!I43&gt;=0.39,"HIGH","OK"))</x:f>
        <x:v>HIGH</x:v>
      </x:c>
      <x:c r="D43" t="str">
        <x:f>IF(Daily_Operations!U43="DATA_INCOMPLETE","BLOCKED",IF(Daily_Operations!P43&lt;=-5,"CRITICAL","OK"))</x:f>
        <x:v>OK</x:v>
      </x:c>
      <x:c r="E43" t="str">
        <x:f>IF(Daily_Operations!U43="DATA_INCOMPLETE","BLOCKED",IFERROR(IF(Daily_Operations!M43/Daily_Operations!K43&gt;=0.05,"HIGH","OK"),"BLOCKED"))</x:f>
        <x:v>OK</x:v>
      </x:c>
      <x:c r="F43" t="str">
        <x:f>IF(Daily_Operations!U43="DATA_INCOMPLETE","BLOCKED",IF(OR(Daily_Operations!S43&gt;=5,Daily_Operations!R43&lt;4.2),"MEDIUM","OK"))</x:f>
        <x:v>OK</x:v>
      </x:c>
      <x:c r="G43" t="str">
        <x:f>IF(Daily_Operations!U43="DATA_INCOMPLETE","DATA_INCOMPLETE","OK")</x:f>
        <x:v>OK</x:v>
      </x:c>
      <x:c r="H43" t="str">
        <x:f>IF(G43="DATA_INCOMPLETE","GA-007",IF(D43="CRITICAL","GA-002",IF(B43="HIGH","GA-001",IF(C43="HIGH",Daily_Operations!V43,IF(E43="HIGH","GA-004",IF(F43="MEDIUM","GA-006",""))))))</x:f>
        <x:v>GA-003</x:v>
      </x:c>
      <x:c r="I43" t="str">
        <x:f>IF(G43="DATA_INCOMPLETE","CRITICAL",IF(D43="CRITICAL","CRITICAL",IF(OR(B43="HIGH",C43="HIGH",E43="HIGH"),"HIGH",IF(F43="MEDIUM","MEDIUM","NORMAL"))))</x:f>
        <x:v>HIGH</x:v>
      </x:c>
    </x:row>
    <x:row r="44">
      <x:c r="A44" s="15" t="n">
        <x:v>46216</x:v>
      </x:c>
      <x:c r="B44" t="str">
        <x:f>IF(Daily_Operations!U44="DATA_INCOMPLETE","BLOCKED",IF(Daily_Operations!G44&gt;=0.33,"HIGH","OK"))</x:f>
        <x:v>OK</x:v>
      </x:c>
      <x:c r="C44" t="str">
        <x:f>IF(Daily_Operations!U44="DATA_INCOMPLETE","BLOCKED",IF(Daily_Operations!I44&gt;=0.39,"HIGH","OK"))</x:f>
        <x:v>HIGH</x:v>
      </x:c>
      <x:c r="D44" t="str">
        <x:f>IF(Daily_Operations!U44="DATA_INCOMPLETE","BLOCKED",IF(Daily_Operations!P44&lt;=-5,"CRITICAL","OK"))</x:f>
        <x:v>OK</x:v>
      </x:c>
      <x:c r="E44" t="str">
        <x:f>IF(Daily_Operations!U44="DATA_INCOMPLETE","BLOCKED",IFERROR(IF(Daily_Operations!M44/Daily_Operations!K44&gt;=0.05,"HIGH","OK"),"BLOCKED"))</x:f>
        <x:v>OK</x:v>
      </x:c>
      <x:c r="F44" t="str">
        <x:f>IF(Daily_Operations!U44="DATA_INCOMPLETE","BLOCKED",IF(OR(Daily_Operations!S44&gt;=5,Daily_Operations!R44&lt;4.2),"MEDIUM","OK"))</x:f>
        <x:v>OK</x:v>
      </x:c>
      <x:c r="G44" t="str">
        <x:f>IF(Daily_Operations!U44="DATA_INCOMPLETE","DATA_INCOMPLETE","OK")</x:f>
        <x:v>OK</x:v>
      </x:c>
      <x:c r="H44" t="str">
        <x:f>IF(G44="DATA_INCOMPLETE","GA-007",IF(D44="CRITICAL","GA-002",IF(B44="HIGH","GA-001",IF(C44="HIGH",Daily_Operations!V44,IF(E44="HIGH","GA-004",IF(F44="MEDIUM","GA-006",""))))))</x:f>
        <x:v>GA-003</x:v>
      </x:c>
      <x:c r="I44" t="str">
        <x:f>IF(G44="DATA_INCOMPLETE","CRITICAL",IF(D44="CRITICAL","CRITICAL",IF(OR(B44="HIGH",C44="HIGH",E44="HIGH"),"HIGH",IF(F44="MEDIUM","MEDIUM","NORMAL"))))</x:f>
        <x:v>HIGH</x:v>
      </x:c>
    </x:row>
    <x:row r="45">
      <x:c r="A45" s="15" t="n">
        <x:v>46217</x:v>
      </x:c>
      <x:c r="B45" t="str">
        <x:f>IF(Daily_Operations!U45="DATA_INCOMPLETE","BLOCKED",IF(Daily_Operations!G45&gt;=0.33,"HIGH","OK"))</x:f>
        <x:v>OK</x:v>
      </x:c>
      <x:c r="C45" t="str">
        <x:f>IF(Daily_Operations!U45="DATA_INCOMPLETE","BLOCKED",IF(Daily_Operations!I45&gt;=0.39,"HIGH","OK"))</x:f>
        <x:v>OK</x:v>
      </x:c>
      <x:c r="D45" t="str">
        <x:f>IF(Daily_Operations!U45="DATA_INCOMPLETE","BLOCKED",IF(Daily_Operations!P45&lt;=-5,"CRITICAL","OK"))</x:f>
        <x:v>OK</x:v>
      </x:c>
      <x:c r="E45" t="str">
        <x:f>IF(Daily_Operations!U45="DATA_INCOMPLETE","BLOCKED",IFERROR(IF(Daily_Operations!M45/Daily_Operations!K45&gt;=0.05,"HIGH","OK"),"BLOCKED"))</x:f>
        <x:v>OK</x:v>
      </x:c>
      <x:c r="F45" t="str">
        <x:f>IF(Daily_Operations!U45="DATA_INCOMPLETE","BLOCKED",IF(OR(Daily_Operations!S45&gt;=5,Daily_Operations!R45&lt;4.2),"MEDIUM","OK"))</x:f>
        <x:v>OK</x:v>
      </x:c>
      <x:c r="G45" t="str">
        <x:f>IF(Daily_Operations!U45="DATA_INCOMPLETE","DATA_INCOMPLETE","OK")</x:f>
        <x:v>OK</x:v>
      </x:c>
      <x:c r="H45" t="str">
        <x:f>IF(G45="DATA_INCOMPLETE","GA-007",IF(D45="CRITICAL","GA-002",IF(B45="HIGH","GA-001",IF(C45="HIGH",Daily_Operations!V45,IF(E45="HIGH","GA-004",IF(F45="MEDIUM","GA-006",""))))))</x:f>
      </x:c>
      <x:c r="I45" t="str">
        <x:f>IF(G45="DATA_INCOMPLETE","CRITICAL",IF(D45="CRITICAL","CRITICAL",IF(OR(B45="HIGH",C45="HIGH",E45="HIGH"),"HIGH",IF(F45="MEDIUM","MEDIUM","NORMAL"))))</x:f>
        <x:v>NORMAL</x:v>
      </x:c>
    </x:row>
    <x:row r="46">
      <x:c r="A46" s="15" t="n">
        <x:v>46218</x:v>
      </x:c>
      <x:c r="B46" t="str">
        <x:f>IF(Daily_Operations!U46="DATA_INCOMPLETE","BLOCKED",IF(Daily_Operations!G46&gt;=0.33,"HIGH","OK"))</x:f>
        <x:v>OK</x:v>
      </x:c>
      <x:c r="C46" t="str">
        <x:f>IF(Daily_Operations!U46="DATA_INCOMPLETE","BLOCKED",IF(Daily_Operations!I46&gt;=0.39,"HIGH","OK"))</x:f>
        <x:v>OK</x:v>
      </x:c>
      <x:c r="D46" t="str">
        <x:f>IF(Daily_Operations!U46="DATA_INCOMPLETE","BLOCKED",IF(Daily_Operations!P46&lt;=-5,"CRITICAL","OK"))</x:f>
        <x:v>OK</x:v>
      </x:c>
      <x:c r="E46" t="str">
        <x:f>IF(Daily_Operations!U46="DATA_INCOMPLETE","BLOCKED",IFERROR(IF(Daily_Operations!M46/Daily_Operations!K46&gt;=0.05,"HIGH","OK"),"BLOCKED"))</x:f>
        <x:v>OK</x:v>
      </x:c>
      <x:c r="F46" t="str">
        <x:f>IF(Daily_Operations!U46="DATA_INCOMPLETE","BLOCKED",IF(OR(Daily_Operations!S46&gt;=5,Daily_Operations!R46&lt;4.2),"MEDIUM","OK"))</x:f>
        <x:v>OK</x:v>
      </x:c>
      <x:c r="G46" t="str">
        <x:f>IF(Daily_Operations!U46="DATA_INCOMPLETE","DATA_INCOMPLETE","OK")</x:f>
        <x:v>OK</x:v>
      </x:c>
      <x:c r="H46" t="str">
        <x:f>IF(G46="DATA_INCOMPLETE","GA-007",IF(D46="CRITICAL","GA-002",IF(B46="HIGH","GA-001",IF(C46="HIGH",Daily_Operations!V46,IF(E46="HIGH","GA-004",IF(F46="MEDIUM","GA-006",""))))))</x:f>
      </x:c>
      <x:c r="I46" t="str">
        <x:f>IF(G46="DATA_INCOMPLETE","CRITICAL",IF(D46="CRITICAL","CRITICAL",IF(OR(B46="HIGH",C46="HIGH",E46="HIGH"),"HIGH",IF(F46="MEDIUM","MEDIUM","NORMAL"))))</x:f>
        <x:v>NORMAL</x:v>
      </x:c>
    </x:row>
    <x:row r="47">
      <x:c r="A47" s="15" t="n">
        <x:v>46219</x:v>
      </x:c>
      <x:c r="B47" t="str">
        <x:f>IF(Daily_Operations!U47="DATA_INCOMPLETE","BLOCKED",IF(Daily_Operations!G47&gt;=0.33,"HIGH","OK"))</x:f>
        <x:v>OK</x:v>
      </x:c>
      <x:c r="C47" t="str">
        <x:f>IF(Daily_Operations!U47="DATA_INCOMPLETE","BLOCKED",IF(Daily_Operations!I47&gt;=0.39,"HIGH","OK"))</x:f>
        <x:v>OK</x:v>
      </x:c>
      <x:c r="D47" t="str">
        <x:f>IF(Daily_Operations!U47="DATA_INCOMPLETE","BLOCKED",IF(Daily_Operations!P47&lt;=-5,"CRITICAL","OK"))</x:f>
        <x:v>OK</x:v>
      </x:c>
      <x:c r="E47" t="str">
        <x:f>IF(Daily_Operations!U47="DATA_INCOMPLETE","BLOCKED",IFERROR(IF(Daily_Operations!M47/Daily_Operations!K47&gt;=0.05,"HIGH","OK"),"BLOCKED"))</x:f>
        <x:v>OK</x:v>
      </x:c>
      <x:c r="F47" t="str">
        <x:f>IF(Daily_Operations!U47="DATA_INCOMPLETE","BLOCKED",IF(OR(Daily_Operations!S47&gt;=5,Daily_Operations!R47&lt;4.2),"MEDIUM","OK"))</x:f>
        <x:v>OK</x:v>
      </x:c>
      <x:c r="G47" t="str">
        <x:f>IF(Daily_Operations!U47="DATA_INCOMPLETE","DATA_INCOMPLETE","OK")</x:f>
        <x:v>OK</x:v>
      </x:c>
      <x:c r="H47" t="str">
        <x:f>IF(G47="DATA_INCOMPLETE","GA-007",IF(D47="CRITICAL","GA-002",IF(B47="HIGH","GA-001",IF(C47="HIGH",Daily_Operations!V47,IF(E47="HIGH","GA-004",IF(F47="MEDIUM","GA-006",""))))))</x:f>
      </x:c>
      <x:c r="I47" t="str">
        <x:f>IF(G47="DATA_INCOMPLETE","CRITICAL",IF(D47="CRITICAL","CRITICAL",IF(OR(B47="HIGH",C47="HIGH",E47="HIGH"),"HIGH",IF(F47="MEDIUM","MEDIUM","NORMAL"))))</x:f>
        <x:v>NORMAL</x:v>
      </x:c>
    </x:row>
    <x:row r="48">
      <x:c r="A48" s="15" t="n">
        <x:v>46220</x:v>
      </x:c>
      <x:c r="B48" t="str">
        <x:f>IF(Daily_Operations!U48="DATA_INCOMPLETE","BLOCKED",IF(Daily_Operations!G48&gt;=0.33,"HIGH","OK"))</x:f>
        <x:v>OK</x:v>
      </x:c>
      <x:c r="C48" t="str">
        <x:f>IF(Daily_Operations!U48="DATA_INCOMPLETE","BLOCKED",IF(Daily_Operations!I48&gt;=0.39,"HIGH","OK"))</x:f>
        <x:v>OK</x:v>
      </x:c>
      <x:c r="D48" t="str">
        <x:f>IF(Daily_Operations!U48="DATA_INCOMPLETE","BLOCKED",IF(Daily_Operations!P48&lt;=-5,"CRITICAL","OK"))</x:f>
        <x:v>OK</x:v>
      </x:c>
      <x:c r="E48" t="str">
        <x:f>IF(Daily_Operations!U48="DATA_INCOMPLETE","BLOCKED",IFERROR(IF(Daily_Operations!M48/Daily_Operations!K48&gt;=0.05,"HIGH","OK"),"BLOCKED"))</x:f>
        <x:v>OK</x:v>
      </x:c>
      <x:c r="F48" t="str">
        <x:f>IF(Daily_Operations!U48="DATA_INCOMPLETE","BLOCKED",IF(OR(Daily_Operations!S48&gt;=5,Daily_Operations!R48&lt;4.2),"MEDIUM","OK"))</x:f>
        <x:v>OK</x:v>
      </x:c>
      <x:c r="G48" t="str">
        <x:f>IF(Daily_Operations!U48="DATA_INCOMPLETE","DATA_INCOMPLETE","OK")</x:f>
        <x:v>OK</x:v>
      </x:c>
      <x:c r="H48" t="str">
        <x:f>IF(G48="DATA_INCOMPLETE","GA-007",IF(D48="CRITICAL","GA-002",IF(B48="HIGH","GA-001",IF(C48="HIGH",Daily_Operations!V48,IF(E48="HIGH","GA-004",IF(F48="MEDIUM","GA-006",""))))))</x:f>
      </x:c>
      <x:c r="I48" t="str">
        <x:f>IF(G48="DATA_INCOMPLETE","CRITICAL",IF(D48="CRITICAL","CRITICAL",IF(OR(B48="HIGH",C48="HIGH",E48="HIGH"),"HIGH",IF(F48="MEDIUM","MEDIUM","NORMAL"))))</x:f>
        <x:v>NORMAL</x:v>
      </x:c>
    </x:row>
    <x:row r="49">
      <x:c r="A49" s="15" t="n">
        <x:v>46221</x:v>
      </x:c>
      <x:c r="B49" t="str">
        <x:f>IF(Daily_Operations!U49="DATA_INCOMPLETE","BLOCKED",IF(Daily_Operations!G49&gt;=0.33,"HIGH","OK"))</x:f>
        <x:v>OK</x:v>
      </x:c>
      <x:c r="C49" t="str">
        <x:f>IF(Daily_Operations!U49="DATA_INCOMPLETE","BLOCKED",IF(Daily_Operations!I49&gt;=0.39,"HIGH","OK"))</x:f>
        <x:v>OK</x:v>
      </x:c>
      <x:c r="D49" t="str">
        <x:f>IF(Daily_Operations!U49="DATA_INCOMPLETE","BLOCKED",IF(Daily_Operations!P49&lt;=-5,"CRITICAL","OK"))</x:f>
        <x:v>OK</x:v>
      </x:c>
      <x:c r="E49" t="str">
        <x:f>IF(Daily_Operations!U49="DATA_INCOMPLETE","BLOCKED",IFERROR(IF(Daily_Operations!M49/Daily_Operations!K49&gt;=0.05,"HIGH","OK"),"BLOCKED"))</x:f>
        <x:v>HIGH</x:v>
      </x:c>
      <x:c r="F49" t="str">
        <x:f>IF(Daily_Operations!U49="DATA_INCOMPLETE","BLOCKED",IF(OR(Daily_Operations!S49&gt;=5,Daily_Operations!R49&lt;4.2),"MEDIUM","OK"))</x:f>
        <x:v>OK</x:v>
      </x:c>
      <x:c r="G49" t="str">
        <x:f>IF(Daily_Operations!U49="DATA_INCOMPLETE","DATA_INCOMPLETE","OK")</x:f>
        <x:v>OK</x:v>
      </x:c>
      <x:c r="H49" t="str">
        <x:f>IF(G49="DATA_INCOMPLETE","GA-007",IF(D49="CRITICAL","GA-002",IF(B49="HIGH","GA-001",IF(C49="HIGH",Daily_Operations!V49,IF(E49="HIGH","GA-004",IF(F49="MEDIUM","GA-006",""))))))</x:f>
        <x:v>GA-004</x:v>
      </x:c>
      <x:c r="I49" t="str">
        <x:f>IF(G49="DATA_INCOMPLETE","CRITICAL",IF(D49="CRITICAL","CRITICAL",IF(OR(B49="HIGH",C49="HIGH",E49="HIGH"),"HIGH",IF(F49="MEDIUM","MEDIUM","NORMAL"))))</x:f>
        <x:v>HIGH</x:v>
      </x:c>
    </x:row>
    <x:row r="50">
      <x:c r="A50" s="15" t="n">
        <x:v>46222</x:v>
      </x:c>
      <x:c r="B50" t="str">
        <x:f>IF(Daily_Operations!U50="DATA_INCOMPLETE","BLOCKED",IF(Daily_Operations!G50&gt;=0.33,"HIGH","OK"))</x:f>
        <x:v>OK</x:v>
      </x:c>
      <x:c r="C50" t="str">
        <x:f>IF(Daily_Operations!U50="DATA_INCOMPLETE","BLOCKED",IF(Daily_Operations!I50&gt;=0.39,"HIGH","OK"))</x:f>
        <x:v>OK</x:v>
      </x:c>
      <x:c r="D50" t="str">
        <x:f>IF(Daily_Operations!U50="DATA_INCOMPLETE","BLOCKED",IF(Daily_Operations!P50&lt;=-5,"CRITICAL","OK"))</x:f>
        <x:v>OK</x:v>
      </x:c>
      <x:c r="E50" t="str">
        <x:f>IF(Daily_Operations!U50="DATA_INCOMPLETE","BLOCKED",IFERROR(IF(Daily_Operations!M50/Daily_Operations!K50&gt;=0.05,"HIGH","OK"),"BLOCKED"))</x:f>
        <x:v>OK</x:v>
      </x:c>
      <x:c r="F50" t="str">
        <x:f>IF(Daily_Operations!U50="DATA_INCOMPLETE","BLOCKED",IF(OR(Daily_Operations!S50&gt;=5,Daily_Operations!R50&lt;4.2),"MEDIUM","OK"))</x:f>
        <x:v>OK</x:v>
      </x:c>
      <x:c r="G50" t="str">
        <x:f>IF(Daily_Operations!U50="DATA_INCOMPLETE","DATA_INCOMPLETE","OK")</x:f>
        <x:v>OK</x:v>
      </x:c>
      <x:c r="H50" t="str">
        <x:f>IF(G50="DATA_INCOMPLETE","GA-007",IF(D50="CRITICAL","GA-002",IF(B50="HIGH","GA-001",IF(C50="HIGH",Daily_Operations!V50,IF(E50="HIGH","GA-004",IF(F50="MEDIUM","GA-006",""))))))</x:f>
      </x:c>
      <x:c r="I50" t="str">
        <x:f>IF(G50="DATA_INCOMPLETE","CRITICAL",IF(D50="CRITICAL","CRITICAL",IF(OR(B50="HIGH",C50="HIGH",E50="HIGH"),"HIGH",IF(F50="MEDIUM","MEDIUM","NORMAL"))))</x:f>
        <x:v>NORMAL</x:v>
      </x:c>
    </x:row>
    <x:row r="51">
      <x:c r="A51" s="15" t="n">
        <x:v>46223</x:v>
      </x:c>
      <x:c r="B51" t="str">
        <x:f>IF(Daily_Operations!U51="DATA_INCOMPLETE","BLOCKED",IF(Daily_Operations!G51&gt;=0.33,"HIGH","OK"))</x:f>
        <x:v>OK</x:v>
      </x:c>
      <x:c r="C51" t="str">
        <x:f>IF(Daily_Operations!U51="DATA_INCOMPLETE","BLOCKED",IF(Daily_Operations!I51&gt;=0.39,"HIGH","OK"))</x:f>
        <x:v>OK</x:v>
      </x:c>
      <x:c r="D51" t="str">
        <x:f>IF(Daily_Operations!U51="DATA_INCOMPLETE","BLOCKED",IF(Daily_Operations!P51&lt;=-5,"CRITICAL","OK"))</x:f>
        <x:v>OK</x:v>
      </x:c>
      <x:c r="E51" t="str">
        <x:f>IF(Daily_Operations!U51="DATA_INCOMPLETE","BLOCKED",IFERROR(IF(Daily_Operations!M51/Daily_Operations!K51&gt;=0.05,"HIGH","OK"),"BLOCKED"))</x:f>
        <x:v>OK</x:v>
      </x:c>
      <x:c r="F51" t="str">
        <x:f>IF(Daily_Operations!U51="DATA_INCOMPLETE","BLOCKED",IF(OR(Daily_Operations!S51&gt;=5,Daily_Operations!R51&lt;4.2),"MEDIUM","OK"))</x:f>
        <x:v>OK</x:v>
      </x:c>
      <x:c r="G51" t="str">
        <x:f>IF(Daily_Operations!U51="DATA_INCOMPLETE","DATA_INCOMPLETE","OK")</x:f>
        <x:v>OK</x:v>
      </x:c>
      <x:c r="H51" t="str">
        <x:f>IF(G51="DATA_INCOMPLETE","GA-007",IF(D51="CRITICAL","GA-002",IF(B51="HIGH","GA-001",IF(C51="HIGH",Daily_Operations!V51,IF(E51="HIGH","GA-004",IF(F51="MEDIUM","GA-006",""))))))</x:f>
      </x:c>
      <x:c r="I51" t="str">
        <x:f>IF(G51="DATA_INCOMPLETE","CRITICAL",IF(D51="CRITICAL","CRITICAL",IF(OR(B51="HIGH",C51="HIGH",E51="HIGH"),"HIGH",IF(F51="MEDIUM","MEDIUM","NORMAL"))))</x:f>
        <x:v>NORMAL</x:v>
      </x:c>
    </x:row>
    <x:row r="52">
      <x:c r="A52" s="15" t="n">
        <x:v>46224</x:v>
      </x:c>
      <x:c r="B52" t="str">
        <x:f>IF(Daily_Operations!U52="DATA_INCOMPLETE","BLOCKED",IF(Daily_Operations!G52&gt;=0.33,"HIGH","OK"))</x:f>
        <x:v>OK</x:v>
      </x:c>
      <x:c r="C52" t="str">
        <x:f>IF(Daily_Operations!U52="DATA_INCOMPLETE","BLOCKED",IF(Daily_Operations!I52&gt;=0.39,"HIGH","OK"))</x:f>
        <x:v>OK</x:v>
      </x:c>
      <x:c r="D52" t="str">
        <x:f>IF(Daily_Operations!U52="DATA_INCOMPLETE","BLOCKED",IF(Daily_Operations!P52&lt;=-5,"CRITICAL","OK"))</x:f>
        <x:v>OK</x:v>
      </x:c>
      <x:c r="E52" t="str">
        <x:f>IF(Daily_Operations!U52="DATA_INCOMPLETE","BLOCKED",IFERROR(IF(Daily_Operations!M52/Daily_Operations!K52&gt;=0.05,"HIGH","OK"),"BLOCKED"))</x:f>
        <x:v>OK</x:v>
      </x:c>
      <x:c r="F52" t="str">
        <x:f>IF(Daily_Operations!U52="DATA_INCOMPLETE","BLOCKED",IF(OR(Daily_Operations!S52&gt;=5,Daily_Operations!R52&lt;4.2),"MEDIUM","OK"))</x:f>
        <x:v>OK</x:v>
      </x:c>
      <x:c r="G52" t="str">
        <x:f>IF(Daily_Operations!U52="DATA_INCOMPLETE","DATA_INCOMPLETE","OK")</x:f>
        <x:v>OK</x:v>
      </x:c>
      <x:c r="H52" t="str">
        <x:f>IF(G52="DATA_INCOMPLETE","GA-007",IF(D52="CRITICAL","GA-002",IF(B52="HIGH","GA-001",IF(C52="HIGH",Daily_Operations!V52,IF(E52="HIGH","GA-004",IF(F52="MEDIUM","GA-006",""))))))</x:f>
      </x:c>
      <x:c r="I52" t="str">
        <x:f>IF(G52="DATA_INCOMPLETE","CRITICAL",IF(D52="CRITICAL","CRITICAL",IF(OR(B52="HIGH",C52="HIGH",E52="HIGH"),"HIGH",IF(F52="MEDIUM","MEDIUM","NORMAL"))))</x:f>
        <x:v>NORMAL</x:v>
      </x:c>
    </x:row>
    <x:row r="53">
      <x:c r="A53" s="15" t="n">
        <x:v>46225</x:v>
      </x:c>
      <x:c r="B53" t="str">
        <x:f>IF(Daily_Operations!U53="DATA_INCOMPLETE","BLOCKED",IF(Daily_Operations!G53&gt;=0.33,"HIGH","OK"))</x:f>
        <x:v>OK</x:v>
      </x:c>
      <x:c r="C53" t="str">
        <x:f>IF(Daily_Operations!U53="DATA_INCOMPLETE","BLOCKED",IF(Daily_Operations!I53&gt;=0.39,"HIGH","OK"))</x:f>
        <x:v>OK</x:v>
      </x:c>
      <x:c r="D53" t="str">
        <x:f>IF(Daily_Operations!U53="DATA_INCOMPLETE","BLOCKED",IF(Daily_Operations!P53&lt;=-5,"CRITICAL","OK"))</x:f>
        <x:v>OK</x:v>
      </x:c>
      <x:c r="E53" t="str">
        <x:f>IF(Daily_Operations!U53="DATA_INCOMPLETE","BLOCKED",IFERROR(IF(Daily_Operations!M53/Daily_Operations!K53&gt;=0.05,"HIGH","OK"),"BLOCKED"))</x:f>
        <x:v>OK</x:v>
      </x:c>
      <x:c r="F53" t="str">
        <x:f>IF(Daily_Operations!U53="DATA_INCOMPLETE","BLOCKED",IF(OR(Daily_Operations!S53&gt;=5,Daily_Operations!R53&lt;4.2),"MEDIUM","OK"))</x:f>
        <x:v>OK</x:v>
      </x:c>
      <x:c r="G53" t="str">
        <x:f>IF(Daily_Operations!U53="DATA_INCOMPLETE","DATA_INCOMPLETE","OK")</x:f>
        <x:v>OK</x:v>
      </x:c>
      <x:c r="H53" t="str">
        <x:f>IF(G53="DATA_INCOMPLETE","GA-007",IF(D53="CRITICAL","GA-002",IF(B53="HIGH","GA-001",IF(C53="HIGH",Daily_Operations!V53,IF(E53="HIGH","GA-004",IF(F53="MEDIUM","GA-006",""))))))</x:f>
      </x:c>
      <x:c r="I53" t="str">
        <x:f>IF(G53="DATA_INCOMPLETE","CRITICAL",IF(D53="CRITICAL","CRITICAL",IF(OR(B53="HIGH",C53="HIGH",E53="HIGH"),"HIGH",IF(F53="MEDIUM","MEDIUM","NORMAL"))))</x:f>
        <x:v>NORMAL</x:v>
      </x:c>
    </x:row>
    <x:row r="54">
      <x:c r="A54" s="15" t="n">
        <x:v>46226</x:v>
      </x:c>
      <x:c r="B54" t="str">
        <x:f>IF(Daily_Operations!U54="DATA_INCOMPLETE","BLOCKED",IF(Daily_Operations!G54&gt;=0.33,"HIGH","OK"))</x:f>
        <x:v>OK</x:v>
      </x:c>
      <x:c r="C54" t="str">
        <x:f>IF(Daily_Operations!U54="DATA_INCOMPLETE","BLOCKED",IF(Daily_Operations!I54&gt;=0.39,"HIGH","OK"))</x:f>
        <x:v>OK</x:v>
      </x:c>
      <x:c r="D54" t="str">
        <x:f>IF(Daily_Operations!U54="DATA_INCOMPLETE","BLOCKED",IF(Daily_Operations!P54&lt;=-5,"CRITICAL","OK"))</x:f>
        <x:v>OK</x:v>
      </x:c>
      <x:c r="E54" t="str">
        <x:f>IF(Daily_Operations!U54="DATA_INCOMPLETE","BLOCKED",IFERROR(IF(Daily_Operations!M54/Daily_Operations!K54&gt;=0.05,"HIGH","OK"),"BLOCKED"))</x:f>
        <x:v>OK</x:v>
      </x:c>
      <x:c r="F54" t="str">
        <x:f>IF(Daily_Operations!U54="DATA_INCOMPLETE","BLOCKED",IF(OR(Daily_Operations!S54&gt;=5,Daily_Operations!R54&lt;4.2),"MEDIUM","OK"))</x:f>
        <x:v>OK</x:v>
      </x:c>
      <x:c r="G54" t="str">
        <x:f>IF(Daily_Operations!U54="DATA_INCOMPLETE","DATA_INCOMPLETE","OK")</x:f>
        <x:v>OK</x:v>
      </x:c>
      <x:c r="H54" t="str">
        <x:f>IF(G54="DATA_INCOMPLETE","GA-007",IF(D54="CRITICAL","GA-002",IF(B54="HIGH","GA-001",IF(C54="HIGH",Daily_Operations!V54,IF(E54="HIGH","GA-004",IF(F54="MEDIUM","GA-006",""))))))</x:f>
      </x:c>
      <x:c r="I54" t="str">
        <x:f>IF(G54="DATA_INCOMPLETE","CRITICAL",IF(D54="CRITICAL","CRITICAL",IF(OR(B54="HIGH",C54="HIGH",E54="HIGH"),"HIGH",IF(F54="MEDIUM","MEDIUM","NORMAL"))))</x:f>
        <x:v>NORMAL</x:v>
      </x:c>
    </x:row>
    <x:row r="55">
      <x:c r="A55" s="15" t="n">
        <x:v>46227</x:v>
      </x:c>
      <x:c r="B55" t="str">
        <x:f>IF(Daily_Operations!U55="DATA_INCOMPLETE","BLOCKED",IF(Daily_Operations!G55&gt;=0.33,"HIGH","OK"))</x:f>
        <x:v>OK</x:v>
      </x:c>
      <x:c r="C55" t="str">
        <x:f>IF(Daily_Operations!U55="DATA_INCOMPLETE","BLOCKED",IF(Daily_Operations!I55&gt;=0.39,"HIGH","OK"))</x:f>
        <x:v>OK</x:v>
      </x:c>
      <x:c r="D55" t="str">
        <x:f>IF(Daily_Operations!U55="DATA_INCOMPLETE","BLOCKED",IF(Daily_Operations!P55&lt;=-5,"CRITICAL","OK"))</x:f>
        <x:v>OK</x:v>
      </x:c>
      <x:c r="E55" t="str">
        <x:f>IF(Daily_Operations!U55="DATA_INCOMPLETE","BLOCKED",IFERROR(IF(Daily_Operations!M55/Daily_Operations!K55&gt;=0.05,"HIGH","OK"),"BLOCKED"))</x:f>
        <x:v>OK</x:v>
      </x:c>
      <x:c r="F55" t="str">
        <x:f>IF(Daily_Operations!U55="DATA_INCOMPLETE","BLOCKED",IF(OR(Daily_Operations!S55&gt;=5,Daily_Operations!R55&lt;4.2),"MEDIUM","OK"))</x:f>
        <x:v>OK</x:v>
      </x:c>
      <x:c r="G55" t="str">
        <x:f>IF(Daily_Operations!U55="DATA_INCOMPLETE","DATA_INCOMPLETE","OK")</x:f>
        <x:v>OK</x:v>
      </x:c>
      <x:c r="H55" t="str">
        <x:f>IF(G55="DATA_INCOMPLETE","GA-007",IF(D55="CRITICAL","GA-002",IF(B55="HIGH","GA-001",IF(C55="HIGH",Daily_Operations!V55,IF(E55="HIGH","GA-004",IF(F55="MEDIUM","GA-006",""))))))</x:f>
      </x:c>
      <x:c r="I55" t="str">
        <x:f>IF(G55="DATA_INCOMPLETE","CRITICAL",IF(D55="CRITICAL","CRITICAL",IF(OR(B55="HIGH",C55="HIGH",E55="HIGH"),"HIGH",IF(F55="MEDIUM","MEDIUM","NORMAL"))))</x:f>
        <x:v>NORMAL</x:v>
      </x:c>
    </x:row>
    <x:row r="56">
      <x:c r="A56" s="15" t="n">
        <x:v>46228</x:v>
      </x:c>
      <x:c r="B56" t="str">
        <x:f>IF(Daily_Operations!U56="DATA_INCOMPLETE","BLOCKED",IF(Daily_Operations!G56&gt;=0.33,"HIGH","OK"))</x:f>
        <x:v>OK</x:v>
      </x:c>
      <x:c r="C56" t="str">
        <x:f>IF(Daily_Operations!U56="DATA_INCOMPLETE","BLOCKED",IF(Daily_Operations!I56&gt;=0.39,"HIGH","OK"))</x:f>
        <x:v>OK</x:v>
      </x:c>
      <x:c r="D56" t="str">
        <x:f>IF(Daily_Operations!U56="DATA_INCOMPLETE","BLOCKED",IF(Daily_Operations!P56&lt;=-5,"CRITICAL","OK"))</x:f>
        <x:v>OK</x:v>
      </x:c>
      <x:c r="E56" t="str">
        <x:f>IF(Daily_Operations!U56="DATA_INCOMPLETE","BLOCKED",IFERROR(IF(Daily_Operations!M56/Daily_Operations!K56&gt;=0.05,"HIGH","OK"),"BLOCKED"))</x:f>
        <x:v>OK</x:v>
      </x:c>
      <x:c r="F56" t="str">
        <x:f>IF(Daily_Operations!U56="DATA_INCOMPLETE","BLOCKED",IF(OR(Daily_Operations!S56&gt;=5,Daily_Operations!R56&lt;4.2),"MEDIUM","OK"))</x:f>
        <x:v>OK</x:v>
      </x:c>
      <x:c r="G56" t="str">
        <x:f>IF(Daily_Operations!U56="DATA_INCOMPLETE","DATA_INCOMPLETE","OK")</x:f>
        <x:v>OK</x:v>
      </x:c>
      <x:c r="H56" t="str">
        <x:f>IF(G56="DATA_INCOMPLETE","GA-007",IF(D56="CRITICAL","GA-002",IF(B56="HIGH","GA-001",IF(C56="HIGH",Daily_Operations!V56,IF(E56="HIGH","GA-004",IF(F56="MEDIUM","GA-006",""))))))</x:f>
      </x:c>
      <x:c r="I56" t="str">
        <x:f>IF(G56="DATA_INCOMPLETE","CRITICAL",IF(D56="CRITICAL","CRITICAL",IF(OR(B56="HIGH",C56="HIGH",E56="HIGH"),"HIGH",IF(F56="MEDIUM","MEDIUM","NORMAL"))))</x:f>
        <x:v>NORMAL</x:v>
      </x:c>
    </x:row>
    <x:row r="57">
      <x:c r="A57" s="15" t="n">
        <x:v>46229</x:v>
      </x:c>
      <x:c r="B57" t="str">
        <x:f>IF(Daily_Operations!U57="DATA_INCOMPLETE","BLOCKED",IF(Daily_Operations!G57&gt;=0.33,"HIGH","OK"))</x:f>
        <x:v>OK</x:v>
      </x:c>
      <x:c r="C57" t="str">
        <x:f>IF(Daily_Operations!U57="DATA_INCOMPLETE","BLOCKED",IF(Daily_Operations!I57&gt;=0.39,"HIGH","OK"))</x:f>
        <x:v>OK</x:v>
      </x:c>
      <x:c r="D57" t="str">
        <x:f>IF(Daily_Operations!U57="DATA_INCOMPLETE","BLOCKED",IF(Daily_Operations!P57&lt;=-5,"CRITICAL","OK"))</x:f>
        <x:v>OK</x:v>
      </x:c>
      <x:c r="E57" t="str">
        <x:f>IF(Daily_Operations!U57="DATA_INCOMPLETE","BLOCKED",IFERROR(IF(Daily_Operations!M57/Daily_Operations!K57&gt;=0.05,"HIGH","OK"),"BLOCKED"))</x:f>
        <x:v>OK</x:v>
      </x:c>
      <x:c r="F57" t="str">
        <x:f>IF(Daily_Operations!U57="DATA_INCOMPLETE","BLOCKED",IF(OR(Daily_Operations!S57&gt;=5,Daily_Operations!R57&lt;4.2),"MEDIUM","OK"))</x:f>
        <x:v>OK</x:v>
      </x:c>
      <x:c r="G57" t="str">
        <x:f>IF(Daily_Operations!U57="DATA_INCOMPLETE","DATA_INCOMPLETE","OK")</x:f>
        <x:v>OK</x:v>
      </x:c>
      <x:c r="H57" t="str">
        <x:f>IF(G57="DATA_INCOMPLETE","GA-007",IF(D57="CRITICAL","GA-002",IF(B57="HIGH","GA-001",IF(C57="HIGH",Daily_Operations!V57,IF(E57="HIGH","GA-004",IF(F57="MEDIUM","GA-006",""))))))</x:f>
      </x:c>
      <x:c r="I57" t="str">
        <x:f>IF(G57="DATA_INCOMPLETE","CRITICAL",IF(D57="CRITICAL","CRITICAL",IF(OR(B57="HIGH",C57="HIGH",E57="HIGH"),"HIGH",IF(F57="MEDIUM","MEDIUM","NORMAL"))))</x:f>
        <x:v>NORMAL</x:v>
      </x:c>
    </x:row>
    <x:row r="58">
      <x:c r="A58" s="15" t="n">
        <x:v>46230</x:v>
      </x:c>
      <x:c r="B58" t="str">
        <x:f>IF(Daily_Operations!U58="DATA_INCOMPLETE","BLOCKED",IF(Daily_Operations!G58&gt;=0.33,"HIGH","OK"))</x:f>
        <x:v>OK</x:v>
      </x:c>
      <x:c r="C58" t="str">
        <x:f>IF(Daily_Operations!U58="DATA_INCOMPLETE","BLOCKED",IF(Daily_Operations!I58&gt;=0.39,"HIGH","OK"))</x:f>
        <x:v>OK</x:v>
      </x:c>
      <x:c r="D58" t="str">
        <x:f>IF(Daily_Operations!U58="DATA_INCOMPLETE","BLOCKED",IF(Daily_Operations!P58&lt;=-5,"CRITICAL","OK"))</x:f>
        <x:v>OK</x:v>
      </x:c>
      <x:c r="E58" t="str">
        <x:f>IF(Daily_Operations!U58="DATA_INCOMPLETE","BLOCKED",IFERROR(IF(Daily_Operations!M58/Daily_Operations!K58&gt;=0.05,"HIGH","OK"),"BLOCKED"))</x:f>
        <x:v>OK</x:v>
      </x:c>
      <x:c r="F58" t="str">
        <x:f>IF(Daily_Operations!U58="DATA_INCOMPLETE","BLOCKED",IF(OR(Daily_Operations!S58&gt;=5,Daily_Operations!R58&lt;4.2),"MEDIUM","OK"))</x:f>
        <x:v>OK</x:v>
      </x:c>
      <x:c r="G58" t="str">
        <x:f>IF(Daily_Operations!U58="DATA_INCOMPLETE","DATA_INCOMPLETE","OK")</x:f>
        <x:v>OK</x:v>
      </x:c>
      <x:c r="H58" t="str">
        <x:f>IF(G58="DATA_INCOMPLETE","GA-007",IF(D58="CRITICAL","GA-002",IF(B58="HIGH","GA-001",IF(C58="HIGH",Daily_Operations!V58,IF(E58="HIGH","GA-004",IF(F58="MEDIUM","GA-006",""))))))</x:f>
      </x:c>
      <x:c r="I58" t="str">
        <x:f>IF(G58="DATA_INCOMPLETE","CRITICAL",IF(D58="CRITICAL","CRITICAL",IF(OR(B58="HIGH",C58="HIGH",E58="HIGH"),"HIGH",IF(F58="MEDIUM","MEDIUM","NORMAL"))))</x:f>
        <x:v>NORMAL</x:v>
      </x:c>
    </x:row>
    <x:row r="59">
      <x:c r="A59" s="15" t="n">
        <x:v>46231</x:v>
      </x:c>
      <x:c r="B59" t="str">
        <x:f>IF(Daily_Operations!U59="DATA_INCOMPLETE","BLOCKED",IF(Daily_Operations!G59&gt;=0.33,"HIGH","OK"))</x:f>
        <x:v>OK</x:v>
      </x:c>
      <x:c r="C59" t="str">
        <x:f>IF(Daily_Operations!U59="DATA_INCOMPLETE","BLOCKED",IF(Daily_Operations!I59&gt;=0.39,"HIGH","OK"))</x:f>
        <x:v>OK</x:v>
      </x:c>
      <x:c r="D59" t="str">
        <x:f>IF(Daily_Operations!U59="DATA_INCOMPLETE","BLOCKED",IF(Daily_Operations!P59&lt;=-5,"CRITICAL","OK"))</x:f>
        <x:v>OK</x:v>
      </x:c>
      <x:c r="E59" t="str">
        <x:f>IF(Daily_Operations!U59="DATA_INCOMPLETE","BLOCKED",IFERROR(IF(Daily_Operations!M59/Daily_Operations!K59&gt;=0.05,"HIGH","OK"),"BLOCKED"))</x:f>
        <x:v>OK</x:v>
      </x:c>
      <x:c r="F59" t="str">
        <x:f>IF(Daily_Operations!U59="DATA_INCOMPLETE","BLOCKED",IF(OR(Daily_Operations!S59&gt;=5,Daily_Operations!R59&lt;4.2),"MEDIUM","OK"))</x:f>
        <x:v>OK</x:v>
      </x:c>
      <x:c r="G59" t="str">
        <x:f>IF(Daily_Operations!U59="DATA_INCOMPLETE","DATA_INCOMPLETE","OK")</x:f>
        <x:v>OK</x:v>
      </x:c>
      <x:c r="H59" t="str">
        <x:f>IF(G59="DATA_INCOMPLETE","GA-007",IF(D59="CRITICAL","GA-002",IF(B59="HIGH","GA-001",IF(C59="HIGH",Daily_Operations!V59,IF(E59="HIGH","GA-004",IF(F59="MEDIUM","GA-006",""))))))</x:f>
      </x:c>
      <x:c r="I59" t="str">
        <x:f>IF(G59="DATA_INCOMPLETE","CRITICAL",IF(D59="CRITICAL","CRITICAL",IF(OR(B59="HIGH",C59="HIGH",E59="HIGH"),"HIGH",IF(F59="MEDIUM","MEDIUM","NORMAL"))))</x:f>
        <x:v>NORMAL</x:v>
      </x:c>
    </x:row>
    <x:row r="60">
      <x:c r="A60" s="15" t="n">
        <x:v>46232</x:v>
      </x:c>
      <x:c r="B60" t="str">
        <x:f>IF(Daily_Operations!U60="DATA_INCOMPLETE","BLOCKED",IF(Daily_Operations!G60&gt;=0.33,"HIGH","OK"))</x:f>
        <x:v>OK</x:v>
      </x:c>
      <x:c r="C60" t="str">
        <x:f>IF(Daily_Operations!U60="DATA_INCOMPLETE","BLOCKED",IF(Daily_Operations!I60&gt;=0.39,"HIGH","OK"))</x:f>
        <x:v>OK</x:v>
      </x:c>
      <x:c r="D60" t="str">
        <x:f>IF(Daily_Operations!U60="DATA_INCOMPLETE","BLOCKED",IF(Daily_Operations!P60&lt;=-5,"CRITICAL","OK"))</x:f>
        <x:v>OK</x:v>
      </x:c>
      <x:c r="E60" t="str">
        <x:f>IF(Daily_Operations!U60="DATA_INCOMPLETE","BLOCKED",IFERROR(IF(Daily_Operations!M60/Daily_Operations!K60&gt;=0.05,"HIGH","OK"),"BLOCKED"))</x:f>
        <x:v>OK</x:v>
      </x:c>
      <x:c r="F60" t="str">
        <x:f>IF(Daily_Operations!U60="DATA_INCOMPLETE","BLOCKED",IF(OR(Daily_Operations!S60&gt;=5,Daily_Operations!R60&lt;4.2),"MEDIUM","OK"))</x:f>
        <x:v>OK</x:v>
      </x:c>
      <x:c r="G60" t="str">
        <x:f>IF(Daily_Operations!U60="DATA_INCOMPLETE","DATA_INCOMPLETE","OK")</x:f>
        <x:v>OK</x:v>
      </x:c>
      <x:c r="H60" t="str">
        <x:f>IF(G60="DATA_INCOMPLETE","GA-007",IF(D60="CRITICAL","GA-002",IF(B60="HIGH","GA-001",IF(C60="HIGH",Daily_Operations!V60,IF(E60="HIGH","GA-004",IF(F60="MEDIUM","GA-006",""))))))</x:f>
      </x:c>
      <x:c r="I60" t="str">
        <x:f>IF(G60="DATA_INCOMPLETE","CRITICAL",IF(D60="CRITICAL","CRITICAL",IF(OR(B60="HIGH",C60="HIGH",E60="HIGH"),"HIGH",IF(F60="MEDIUM","MEDIUM","NORMAL"))))</x:f>
        <x:v>NORMAL</x:v>
      </x:c>
    </x:row>
    <x:row r="61">
      <x:c r="A61" s="15" t="n">
        <x:v>46233</x:v>
      </x:c>
      <x:c r="B61" t="str">
        <x:f>IF(Daily_Operations!U61="DATA_INCOMPLETE","BLOCKED",IF(Daily_Operations!G61&gt;=0.33,"HIGH","OK"))</x:f>
        <x:v>OK</x:v>
      </x:c>
      <x:c r="C61" t="str">
        <x:f>IF(Daily_Operations!U61="DATA_INCOMPLETE","BLOCKED",IF(Daily_Operations!I61&gt;=0.39,"HIGH","OK"))</x:f>
        <x:v>OK</x:v>
      </x:c>
      <x:c r="D61" t="str">
        <x:f>IF(Daily_Operations!U61="DATA_INCOMPLETE","BLOCKED",IF(Daily_Operations!P61&lt;=-5,"CRITICAL","OK"))</x:f>
        <x:v>OK</x:v>
      </x:c>
      <x:c r="E61" t="str">
        <x:f>IF(Daily_Operations!U61="DATA_INCOMPLETE","BLOCKED",IFERROR(IF(Daily_Operations!M61/Daily_Operations!K61&gt;=0.05,"HIGH","OK"),"BLOCKED"))</x:f>
        <x:v>OK</x:v>
      </x:c>
      <x:c r="F61" t="str">
        <x:f>IF(Daily_Operations!U61="DATA_INCOMPLETE","BLOCKED",IF(OR(Daily_Operations!S61&gt;=5,Daily_Operations!R61&lt;4.2),"MEDIUM","OK"))</x:f>
        <x:v>OK</x:v>
      </x:c>
      <x:c r="G61" t="str">
        <x:f>IF(Daily_Operations!U61="DATA_INCOMPLETE","DATA_INCOMPLETE","OK")</x:f>
        <x:v>OK</x:v>
      </x:c>
      <x:c r="H61" t="str">
        <x:f>IF(G61="DATA_INCOMPLETE","GA-007",IF(D61="CRITICAL","GA-002",IF(B61="HIGH","GA-001",IF(C61="HIGH",Daily_Operations!V61,IF(E61="HIGH","GA-004",IF(F61="MEDIUM","GA-006",""))))))</x:f>
      </x:c>
      <x:c r="I61" t="str">
        <x:f>IF(G61="DATA_INCOMPLETE","CRITICAL",IF(D61="CRITICAL","CRITICAL",IF(OR(B61="HIGH",C61="HIGH",E61="HIGH"),"HIGH",IF(F61="MEDIUM","MEDIUM","NORMAL"))))</x:f>
        <x:v>NORMAL</x:v>
      </x:c>
    </x:row>
    <x:row r="62">
      <x:c r="A62" s="15" t="n">
        <x:v>46234</x:v>
      </x:c>
      <x:c r="B62" t="str">
        <x:f>IF(Daily_Operations!U62="DATA_INCOMPLETE","BLOCKED",IF(Daily_Operations!G62&gt;=0.33,"HIGH","OK"))</x:f>
        <x:v>OK</x:v>
      </x:c>
      <x:c r="C62" t="str">
        <x:f>IF(Daily_Operations!U62="DATA_INCOMPLETE","BLOCKED",IF(Daily_Operations!I62&gt;=0.39,"HIGH","OK"))</x:f>
        <x:v>OK</x:v>
      </x:c>
      <x:c r="D62" t="str">
        <x:f>IF(Daily_Operations!U62="DATA_INCOMPLETE","BLOCKED",IF(Daily_Operations!P62&lt;=-5,"CRITICAL","OK"))</x:f>
        <x:v>OK</x:v>
      </x:c>
      <x:c r="E62" t="str">
        <x:f>IF(Daily_Operations!U62="DATA_INCOMPLETE","BLOCKED",IFERROR(IF(Daily_Operations!M62/Daily_Operations!K62&gt;=0.05,"HIGH","OK"),"BLOCKED"))</x:f>
        <x:v>OK</x:v>
      </x:c>
      <x:c r="F62" t="str">
        <x:f>IF(Daily_Operations!U62="DATA_INCOMPLETE","BLOCKED",IF(OR(Daily_Operations!S62&gt;=5,Daily_Operations!R62&lt;4.2),"MEDIUM","OK"))</x:f>
        <x:v>OK</x:v>
      </x:c>
      <x:c r="G62" t="str">
        <x:f>IF(Daily_Operations!U62="DATA_INCOMPLETE","DATA_INCOMPLETE","OK")</x:f>
        <x:v>OK</x:v>
      </x:c>
      <x:c r="H62" t="str">
        <x:f>IF(G62="DATA_INCOMPLETE","GA-007",IF(D62="CRITICAL","GA-002",IF(B62="HIGH","GA-001",IF(C62="HIGH",Daily_Operations!V62,IF(E62="HIGH","GA-004",IF(F62="MEDIUM","GA-006",""))))))</x:f>
      </x:c>
      <x:c r="I62" t="str">
        <x:f>IF(G62="DATA_INCOMPLETE","CRITICAL",IF(D62="CRITICAL","CRITICAL",IF(OR(B62="HIGH",C62="HIGH",E62="HIGH"),"HIGH",IF(F62="MEDIUM","MEDIUM","NORMAL"))))</x:f>
        <x:v>NORMAL</x:v>
      </x:c>
    </x:row>
    <x:row r="63">
      <x:c r="A63" s="15" t="n">
        <x:v>46235</x:v>
      </x:c>
      <x:c r="B63" t="str">
        <x:f>IF(Daily_Operations!U63="DATA_INCOMPLETE","BLOCKED",IF(Daily_Operations!G63&gt;=0.33,"HIGH","OK"))</x:f>
        <x:v>OK</x:v>
      </x:c>
      <x:c r="C63" t="str">
        <x:f>IF(Daily_Operations!U63="DATA_INCOMPLETE","BLOCKED",IF(Daily_Operations!I63&gt;=0.39,"HIGH","OK"))</x:f>
        <x:v>OK</x:v>
      </x:c>
      <x:c r="D63" t="str">
        <x:f>IF(Daily_Operations!U63="DATA_INCOMPLETE","BLOCKED",IF(Daily_Operations!P63&lt;=-5,"CRITICAL","OK"))</x:f>
        <x:v>OK</x:v>
      </x:c>
      <x:c r="E63" t="str">
        <x:f>IF(Daily_Operations!U63="DATA_INCOMPLETE","BLOCKED",IFERROR(IF(Daily_Operations!M63/Daily_Operations!K63&gt;=0.05,"HIGH","OK"),"BLOCKED"))</x:f>
        <x:v>OK</x:v>
      </x:c>
      <x:c r="F63" t="str">
        <x:f>IF(Daily_Operations!U63="DATA_INCOMPLETE","BLOCKED",IF(OR(Daily_Operations!S63&gt;=5,Daily_Operations!R63&lt;4.2),"MEDIUM","OK"))</x:f>
        <x:v>OK</x:v>
      </x:c>
      <x:c r="G63" t="str">
        <x:f>IF(Daily_Operations!U63="DATA_INCOMPLETE","DATA_INCOMPLETE","OK")</x:f>
        <x:v>OK</x:v>
      </x:c>
      <x:c r="H63" t="str">
        <x:f>IF(G63="DATA_INCOMPLETE","GA-007",IF(D63="CRITICAL","GA-002",IF(B63="HIGH","GA-001",IF(C63="HIGH",Daily_Operations!V63,IF(E63="HIGH","GA-004",IF(F63="MEDIUM","GA-006",""))))))</x:f>
      </x:c>
      <x:c r="I63" t="str">
        <x:f>IF(G63="DATA_INCOMPLETE","CRITICAL",IF(D63="CRITICAL","CRITICAL",IF(OR(B63="HIGH",C63="HIGH",E63="HIGH"),"HIGH",IF(F63="MEDIUM","MEDIUM","NORMAL"))))</x:f>
        <x:v>NORMAL</x:v>
      </x:c>
    </x:row>
    <x:row r="64">
      <x:c r="A64" s="15" t="n">
        <x:v>46236</x:v>
      </x:c>
      <x:c r="B64" t="str">
        <x:f>IF(Daily_Operations!U64="DATA_INCOMPLETE","BLOCKED",IF(Daily_Operations!G64&gt;=0.33,"HIGH","OK"))</x:f>
        <x:v>OK</x:v>
      </x:c>
      <x:c r="C64" t="str">
        <x:f>IF(Daily_Operations!U64="DATA_INCOMPLETE","BLOCKED",IF(Daily_Operations!I64&gt;=0.39,"HIGH","OK"))</x:f>
        <x:v>OK</x:v>
      </x:c>
      <x:c r="D64" t="str">
        <x:f>IF(Daily_Operations!U64="DATA_INCOMPLETE","BLOCKED",IF(Daily_Operations!P64&lt;=-5,"CRITICAL","OK"))</x:f>
        <x:v>OK</x:v>
      </x:c>
      <x:c r="E64" t="str">
        <x:f>IF(Daily_Operations!U64="DATA_INCOMPLETE","BLOCKED",IFERROR(IF(Daily_Operations!M64/Daily_Operations!K64&gt;=0.05,"HIGH","OK"),"BLOCKED"))</x:f>
        <x:v>OK</x:v>
      </x:c>
      <x:c r="F64" t="str">
        <x:f>IF(Daily_Operations!U64="DATA_INCOMPLETE","BLOCKED",IF(OR(Daily_Operations!S64&gt;=5,Daily_Operations!R64&lt;4.2),"MEDIUM","OK"))</x:f>
        <x:v>OK</x:v>
      </x:c>
      <x:c r="G64" t="str">
        <x:f>IF(Daily_Operations!U64="DATA_INCOMPLETE","DATA_INCOMPLETE","OK")</x:f>
        <x:v>OK</x:v>
      </x:c>
      <x:c r="H64" t="str">
        <x:f>IF(G64="DATA_INCOMPLETE","GA-007",IF(D64="CRITICAL","GA-002",IF(B64="HIGH","GA-001",IF(C64="HIGH",Daily_Operations!V64,IF(E64="HIGH","GA-004",IF(F64="MEDIUM","GA-006",""))))))</x:f>
      </x:c>
      <x:c r="I64" t="str">
        <x:f>IF(G64="DATA_INCOMPLETE","CRITICAL",IF(D64="CRITICAL","CRITICAL",IF(OR(B64="HIGH",C64="HIGH",E64="HIGH"),"HIGH",IF(F64="MEDIUM","MEDIUM","NORMAL"))))</x:f>
        <x:v>NORMAL</x:v>
      </x:c>
    </x:row>
    <x:row r="65">
      <x:c r="A65" s="15" t="n">
        <x:v>46237</x:v>
      </x:c>
      <x:c r="B65" t="str">
        <x:f>IF(Daily_Operations!U65="DATA_INCOMPLETE","BLOCKED",IF(Daily_Operations!G65&gt;=0.33,"HIGH","OK"))</x:f>
        <x:v>HIGH</x:v>
      </x:c>
      <x:c r="C65" t="str">
        <x:f>IF(Daily_Operations!U65="DATA_INCOMPLETE","BLOCKED",IF(Daily_Operations!I65&gt;=0.39,"HIGH","OK"))</x:f>
        <x:v>OK</x:v>
      </x:c>
      <x:c r="D65" t="str">
        <x:f>IF(Daily_Operations!U65="DATA_INCOMPLETE","BLOCKED",IF(Daily_Operations!P65&lt;=-5,"CRITICAL","OK"))</x:f>
        <x:v>OK</x:v>
      </x:c>
      <x:c r="E65" t="str">
        <x:f>IF(Daily_Operations!U65="DATA_INCOMPLETE","BLOCKED",IFERROR(IF(Daily_Operations!M65/Daily_Operations!K65&gt;=0.05,"HIGH","OK"),"BLOCKED"))</x:f>
        <x:v>OK</x:v>
      </x:c>
      <x:c r="F65" t="str">
        <x:f>IF(Daily_Operations!U65="DATA_INCOMPLETE","BLOCKED",IF(OR(Daily_Operations!S65&gt;=5,Daily_Operations!R65&lt;4.2),"MEDIUM","OK"))</x:f>
        <x:v>OK</x:v>
      </x:c>
      <x:c r="G65" t="str">
        <x:f>IF(Daily_Operations!U65="DATA_INCOMPLETE","DATA_INCOMPLETE","OK")</x:f>
        <x:v>OK</x:v>
      </x:c>
      <x:c r="H65" t="str">
        <x:f>IF(G65="DATA_INCOMPLETE","GA-007",IF(D65="CRITICAL","GA-002",IF(B65="HIGH","GA-001",IF(C65="HIGH",Daily_Operations!V65,IF(E65="HIGH","GA-004",IF(F65="MEDIUM","GA-006",""))))))</x:f>
        <x:v>GA-001</x:v>
      </x:c>
      <x:c r="I65" t="str">
        <x:f>IF(G65="DATA_INCOMPLETE","CRITICAL",IF(D65="CRITICAL","CRITICAL",IF(OR(B65="HIGH",C65="HIGH",E65="HIGH"),"HIGH",IF(F65="MEDIUM","MEDIUM","NORMAL"))))</x:f>
        <x:v>HIGH</x:v>
      </x:c>
    </x:row>
    <x:row r="66">
      <x:c r="A66" s="15" t="n">
        <x:v>46238</x:v>
      </x:c>
      <x:c r="B66" t="str">
        <x:f>IF(Daily_Operations!U66="DATA_INCOMPLETE","BLOCKED",IF(Daily_Operations!G66&gt;=0.33,"HIGH","OK"))</x:f>
        <x:v>HIGH</x:v>
      </x:c>
      <x:c r="C66" t="str">
        <x:f>IF(Daily_Operations!U66="DATA_INCOMPLETE","BLOCKED",IF(Daily_Operations!I66&gt;=0.39,"HIGH","OK"))</x:f>
        <x:v>OK</x:v>
      </x:c>
      <x:c r="D66" t="str">
        <x:f>IF(Daily_Operations!U66="DATA_INCOMPLETE","BLOCKED",IF(Daily_Operations!P66&lt;=-5,"CRITICAL","OK"))</x:f>
        <x:v>OK</x:v>
      </x:c>
      <x:c r="E66" t="str">
        <x:f>IF(Daily_Operations!U66="DATA_INCOMPLETE","BLOCKED",IFERROR(IF(Daily_Operations!M66/Daily_Operations!K66&gt;=0.05,"HIGH","OK"),"BLOCKED"))</x:f>
        <x:v>OK</x:v>
      </x:c>
      <x:c r="F66" t="str">
        <x:f>IF(Daily_Operations!U66="DATA_INCOMPLETE","BLOCKED",IF(OR(Daily_Operations!S66&gt;=5,Daily_Operations!R66&lt;4.2),"MEDIUM","OK"))</x:f>
        <x:v>OK</x:v>
      </x:c>
      <x:c r="G66" t="str">
        <x:f>IF(Daily_Operations!U66="DATA_INCOMPLETE","DATA_INCOMPLETE","OK")</x:f>
        <x:v>OK</x:v>
      </x:c>
      <x:c r="H66" t="str">
        <x:f>IF(G66="DATA_INCOMPLETE","GA-007",IF(D66="CRITICAL","GA-002",IF(B66="HIGH","GA-001",IF(C66="HIGH",Daily_Operations!V66,IF(E66="HIGH","GA-004",IF(F66="MEDIUM","GA-006",""))))))</x:f>
        <x:v>GA-001</x:v>
      </x:c>
      <x:c r="I66" t="str">
        <x:f>IF(G66="DATA_INCOMPLETE","CRITICAL",IF(D66="CRITICAL","CRITICAL",IF(OR(B66="HIGH",C66="HIGH",E66="HIGH"),"HIGH",IF(F66="MEDIUM","MEDIUM","NORMAL"))))</x:f>
        <x:v>HIGH</x:v>
      </x:c>
    </x:row>
    <x:row r="67">
      <x:c r="A67" s="15" t="n">
        <x:v>46239</x:v>
      </x:c>
      <x:c r="B67" t="str">
        <x:f>IF(Daily_Operations!U67="DATA_INCOMPLETE","BLOCKED",IF(Daily_Operations!G67&gt;=0.33,"HIGH","OK"))</x:f>
        <x:v>OK</x:v>
      </x:c>
      <x:c r="C67" t="str">
        <x:f>IF(Daily_Operations!U67="DATA_INCOMPLETE","BLOCKED",IF(Daily_Operations!I67&gt;=0.39,"HIGH","OK"))</x:f>
        <x:v>OK</x:v>
      </x:c>
      <x:c r="D67" t="str">
        <x:f>IF(Daily_Operations!U67="DATA_INCOMPLETE","BLOCKED",IF(Daily_Operations!P67&lt;=-5,"CRITICAL","OK"))</x:f>
        <x:v>OK</x:v>
      </x:c>
      <x:c r="E67" t="str">
        <x:f>IF(Daily_Operations!U67="DATA_INCOMPLETE","BLOCKED",IFERROR(IF(Daily_Operations!M67/Daily_Operations!K67&gt;=0.05,"HIGH","OK"),"BLOCKED"))</x:f>
        <x:v>OK</x:v>
      </x:c>
      <x:c r="F67" t="str">
        <x:f>IF(Daily_Operations!U67="DATA_INCOMPLETE","BLOCKED",IF(OR(Daily_Operations!S67&gt;=5,Daily_Operations!R67&lt;4.2),"MEDIUM","OK"))</x:f>
        <x:v>OK</x:v>
      </x:c>
      <x:c r="G67" t="str">
        <x:f>IF(Daily_Operations!U67="DATA_INCOMPLETE","DATA_INCOMPLETE","OK")</x:f>
        <x:v>OK</x:v>
      </x:c>
      <x:c r="H67" t="str">
        <x:f>IF(G67="DATA_INCOMPLETE","GA-007",IF(D67="CRITICAL","GA-002",IF(B67="HIGH","GA-001",IF(C67="HIGH",Daily_Operations!V67,IF(E67="HIGH","GA-004",IF(F67="MEDIUM","GA-006",""))))))</x:f>
      </x:c>
      <x:c r="I67" t="str">
        <x:f>IF(G67="DATA_INCOMPLETE","CRITICAL",IF(D67="CRITICAL","CRITICAL",IF(OR(B67="HIGH",C67="HIGH",E67="HIGH"),"HIGH",IF(F67="MEDIUM","MEDIUM","NORMAL"))))</x:f>
        <x:v>NORMAL</x:v>
      </x:c>
    </x:row>
    <x:row r="68">
      <x:c r="A68" s="15" t="n">
        <x:v>46240</x:v>
      </x:c>
      <x:c r="B68" t="str">
        <x:f>IF(Daily_Operations!U68="DATA_INCOMPLETE","BLOCKED",IF(Daily_Operations!G68&gt;=0.33,"HIGH","OK"))</x:f>
        <x:v>OK</x:v>
      </x:c>
      <x:c r="C68" t="str">
        <x:f>IF(Daily_Operations!U68="DATA_INCOMPLETE","BLOCKED",IF(Daily_Operations!I68&gt;=0.39,"HIGH","OK"))</x:f>
        <x:v>OK</x:v>
      </x:c>
      <x:c r="D68" t="str">
        <x:f>IF(Daily_Operations!U68="DATA_INCOMPLETE","BLOCKED",IF(Daily_Operations!P68&lt;=-5,"CRITICAL","OK"))</x:f>
        <x:v>OK</x:v>
      </x:c>
      <x:c r="E68" t="str">
        <x:f>IF(Daily_Operations!U68="DATA_INCOMPLETE","BLOCKED",IFERROR(IF(Daily_Operations!M68/Daily_Operations!K68&gt;=0.05,"HIGH","OK"),"BLOCKED"))</x:f>
        <x:v>OK</x:v>
      </x:c>
      <x:c r="F68" t="str">
        <x:f>IF(Daily_Operations!U68="DATA_INCOMPLETE","BLOCKED",IF(OR(Daily_Operations!S68&gt;=5,Daily_Operations!R68&lt;4.2),"MEDIUM","OK"))</x:f>
        <x:v>OK</x:v>
      </x:c>
      <x:c r="G68" t="str">
        <x:f>IF(Daily_Operations!U68="DATA_INCOMPLETE","DATA_INCOMPLETE","OK")</x:f>
        <x:v>OK</x:v>
      </x:c>
      <x:c r="H68" t="str">
        <x:f>IF(G68="DATA_INCOMPLETE","GA-007",IF(D68="CRITICAL","GA-002",IF(B68="HIGH","GA-001",IF(C68="HIGH",Daily_Operations!V68,IF(E68="HIGH","GA-004",IF(F68="MEDIUM","GA-006",""))))))</x:f>
      </x:c>
      <x:c r="I68" t="str">
        <x:f>IF(G68="DATA_INCOMPLETE","CRITICAL",IF(D68="CRITICAL","CRITICAL",IF(OR(B68="HIGH",C68="HIGH",E68="HIGH"),"HIGH",IF(F68="MEDIUM","MEDIUM","NORMAL"))))</x:f>
        <x:v>NORMAL</x:v>
      </x:c>
    </x:row>
    <x:row r="69">
      <x:c r="A69" s="15" t="n">
        <x:v>46241</x:v>
      </x:c>
      <x:c r="B69" t="str">
        <x:f>IF(Daily_Operations!U69="DATA_INCOMPLETE","BLOCKED",IF(Daily_Operations!G69&gt;=0.33,"HIGH","OK"))</x:f>
        <x:v>OK</x:v>
      </x:c>
      <x:c r="C69" t="str">
        <x:f>IF(Daily_Operations!U69="DATA_INCOMPLETE","BLOCKED",IF(Daily_Operations!I69&gt;=0.39,"HIGH","OK"))</x:f>
        <x:v>OK</x:v>
      </x:c>
      <x:c r="D69" t="str">
        <x:f>IF(Daily_Operations!U69="DATA_INCOMPLETE","BLOCKED",IF(Daily_Operations!P69&lt;=-5,"CRITICAL","OK"))</x:f>
        <x:v>OK</x:v>
      </x:c>
      <x:c r="E69" t="str">
        <x:f>IF(Daily_Operations!U69="DATA_INCOMPLETE","BLOCKED",IFERROR(IF(Daily_Operations!M69/Daily_Operations!K69&gt;=0.05,"HIGH","OK"),"BLOCKED"))</x:f>
        <x:v>OK</x:v>
      </x:c>
      <x:c r="F69" t="str">
        <x:f>IF(Daily_Operations!U69="DATA_INCOMPLETE","BLOCKED",IF(OR(Daily_Operations!S69&gt;=5,Daily_Operations!R69&lt;4.2),"MEDIUM","OK"))</x:f>
        <x:v>OK</x:v>
      </x:c>
      <x:c r="G69" t="str">
        <x:f>IF(Daily_Operations!U69="DATA_INCOMPLETE","DATA_INCOMPLETE","OK")</x:f>
        <x:v>OK</x:v>
      </x:c>
      <x:c r="H69" t="str">
        <x:f>IF(G69="DATA_INCOMPLETE","GA-007",IF(D69="CRITICAL","GA-002",IF(B69="HIGH","GA-001",IF(C69="HIGH",Daily_Operations!V69,IF(E69="HIGH","GA-004",IF(F69="MEDIUM","GA-006",""))))))</x:f>
      </x:c>
      <x:c r="I69" t="str">
        <x:f>IF(G69="DATA_INCOMPLETE","CRITICAL",IF(D69="CRITICAL","CRITICAL",IF(OR(B69="HIGH",C69="HIGH",E69="HIGH"),"HIGH",IF(F69="MEDIUM","MEDIUM","NORMAL"))))</x:f>
        <x:v>NORMAL</x:v>
      </x:c>
    </x:row>
    <x:row r="70">
      <x:c r="A70" s="15" t="n">
        <x:v>46242</x:v>
      </x:c>
      <x:c r="B70" t="str">
        <x:f>IF(Daily_Operations!U70="DATA_INCOMPLETE","BLOCKED",IF(Daily_Operations!G70&gt;=0.33,"HIGH","OK"))</x:f>
        <x:v>OK</x:v>
      </x:c>
      <x:c r="C70" t="str">
        <x:f>IF(Daily_Operations!U70="DATA_INCOMPLETE","BLOCKED",IF(Daily_Operations!I70&gt;=0.39,"HIGH","OK"))</x:f>
        <x:v>OK</x:v>
      </x:c>
      <x:c r="D70" t="str">
        <x:f>IF(Daily_Operations!U70="DATA_INCOMPLETE","BLOCKED",IF(Daily_Operations!P70&lt;=-5,"CRITICAL","OK"))</x:f>
        <x:v>OK</x:v>
      </x:c>
      <x:c r="E70" t="str">
        <x:f>IF(Daily_Operations!U70="DATA_INCOMPLETE","BLOCKED",IFERROR(IF(Daily_Operations!M70/Daily_Operations!K70&gt;=0.05,"HIGH","OK"),"BLOCKED"))</x:f>
        <x:v>OK</x:v>
      </x:c>
      <x:c r="F70" t="str">
        <x:f>IF(Daily_Operations!U70="DATA_INCOMPLETE","BLOCKED",IF(OR(Daily_Operations!S70&gt;=5,Daily_Operations!R70&lt;4.2),"MEDIUM","OK"))</x:f>
        <x:v>OK</x:v>
      </x:c>
      <x:c r="G70" t="str">
        <x:f>IF(Daily_Operations!U70="DATA_INCOMPLETE","DATA_INCOMPLETE","OK")</x:f>
        <x:v>OK</x:v>
      </x:c>
      <x:c r="H70" t="str">
        <x:f>IF(G70="DATA_INCOMPLETE","GA-007",IF(D70="CRITICAL","GA-002",IF(B70="HIGH","GA-001",IF(C70="HIGH",Daily_Operations!V70,IF(E70="HIGH","GA-004",IF(F70="MEDIUM","GA-006",""))))))</x:f>
      </x:c>
      <x:c r="I70" t="str">
        <x:f>IF(G70="DATA_INCOMPLETE","CRITICAL",IF(D70="CRITICAL","CRITICAL",IF(OR(B70="HIGH",C70="HIGH",E70="HIGH"),"HIGH",IF(F70="MEDIUM","MEDIUM","NORMAL"))))</x:f>
        <x:v>NORMAL</x:v>
      </x:c>
    </x:row>
    <x:row r="71">
      <x:c r="A71" s="15" t="n">
        <x:v>46243</x:v>
      </x:c>
      <x:c r="B71" t="str">
        <x:f>IF(Daily_Operations!U71="DATA_INCOMPLETE","BLOCKED",IF(Daily_Operations!G71&gt;=0.33,"HIGH","OK"))</x:f>
        <x:v>OK</x:v>
      </x:c>
      <x:c r="C71" t="str">
        <x:f>IF(Daily_Operations!U71="DATA_INCOMPLETE","BLOCKED",IF(Daily_Operations!I71&gt;=0.39,"HIGH","OK"))</x:f>
        <x:v>OK</x:v>
      </x:c>
      <x:c r="D71" t="str">
        <x:f>IF(Daily_Operations!U71="DATA_INCOMPLETE","BLOCKED",IF(Daily_Operations!P71&lt;=-5,"CRITICAL","OK"))</x:f>
        <x:v>OK</x:v>
      </x:c>
      <x:c r="E71" t="str">
        <x:f>IF(Daily_Operations!U71="DATA_INCOMPLETE","BLOCKED",IFERROR(IF(Daily_Operations!M71/Daily_Operations!K71&gt;=0.05,"HIGH","OK"),"BLOCKED"))</x:f>
        <x:v>OK</x:v>
      </x:c>
      <x:c r="F71" t="str">
        <x:f>IF(Daily_Operations!U71="DATA_INCOMPLETE","BLOCKED",IF(OR(Daily_Operations!S71&gt;=5,Daily_Operations!R71&lt;4.2),"MEDIUM","OK"))</x:f>
        <x:v>OK</x:v>
      </x:c>
      <x:c r="G71" t="str">
        <x:f>IF(Daily_Operations!U71="DATA_INCOMPLETE","DATA_INCOMPLETE","OK")</x:f>
        <x:v>OK</x:v>
      </x:c>
      <x:c r="H71" t="str">
        <x:f>IF(G71="DATA_INCOMPLETE","GA-007",IF(D71="CRITICAL","GA-002",IF(B71="HIGH","GA-001",IF(C71="HIGH",Daily_Operations!V71,IF(E71="HIGH","GA-004",IF(F71="MEDIUM","GA-006",""))))))</x:f>
      </x:c>
      <x:c r="I71" t="str">
        <x:f>IF(G71="DATA_INCOMPLETE","CRITICAL",IF(D71="CRITICAL","CRITICAL",IF(OR(B71="HIGH",C71="HIGH",E71="HIGH"),"HIGH",IF(F71="MEDIUM","MEDIUM","NORMAL"))))</x:f>
        <x:v>NORMAL</x:v>
      </x:c>
    </x:row>
    <x:row r="72">
      <x:c r="A72" s="15" t="n">
        <x:v>46244</x:v>
      </x:c>
      <x:c r="B72" t="str">
        <x:f>IF(Daily_Operations!U72="DATA_INCOMPLETE","BLOCKED",IF(Daily_Operations!G72&gt;=0.33,"HIGH","OK"))</x:f>
        <x:v>OK</x:v>
      </x:c>
      <x:c r="C72" t="str">
        <x:f>IF(Daily_Operations!U72="DATA_INCOMPLETE","BLOCKED",IF(Daily_Operations!I72&gt;=0.39,"HIGH","OK"))</x:f>
        <x:v>OK</x:v>
      </x:c>
      <x:c r="D72" t="str">
        <x:f>IF(Daily_Operations!U72="DATA_INCOMPLETE","BLOCKED",IF(Daily_Operations!P72&lt;=-5,"CRITICAL","OK"))</x:f>
        <x:v>OK</x:v>
      </x:c>
      <x:c r="E72" t="str">
        <x:f>IF(Daily_Operations!U72="DATA_INCOMPLETE","BLOCKED",IFERROR(IF(Daily_Operations!M72/Daily_Operations!K72&gt;=0.05,"HIGH","OK"),"BLOCKED"))</x:f>
        <x:v>OK</x:v>
      </x:c>
      <x:c r="F72" t="str">
        <x:f>IF(Daily_Operations!U72="DATA_INCOMPLETE","BLOCKED",IF(OR(Daily_Operations!S72&gt;=5,Daily_Operations!R72&lt;4.2),"MEDIUM","OK"))</x:f>
        <x:v>OK</x:v>
      </x:c>
      <x:c r="G72" t="str">
        <x:f>IF(Daily_Operations!U72="DATA_INCOMPLETE","DATA_INCOMPLETE","OK")</x:f>
        <x:v>OK</x:v>
      </x:c>
      <x:c r="H72" t="str">
        <x:f>IF(G72="DATA_INCOMPLETE","GA-007",IF(D72="CRITICAL","GA-002",IF(B72="HIGH","GA-001",IF(C72="HIGH",Daily_Operations!V72,IF(E72="HIGH","GA-004",IF(F72="MEDIUM","GA-006",""))))))</x:f>
      </x:c>
      <x:c r="I72" t="str">
        <x:f>IF(G72="DATA_INCOMPLETE","CRITICAL",IF(D72="CRITICAL","CRITICAL",IF(OR(B72="HIGH",C72="HIGH",E72="HIGH"),"HIGH",IF(F72="MEDIUM","MEDIUM","NORMAL"))))</x:f>
        <x:v>NORMAL</x:v>
      </x:c>
    </x:row>
    <x:row r="73">
      <x:c r="A73" s="15" t="n">
        <x:v>46245</x:v>
      </x:c>
      <x:c r="B73" t="str">
        <x:f>IF(Daily_Operations!U73="DATA_INCOMPLETE","BLOCKED",IF(Daily_Operations!G73&gt;=0.33,"HIGH","OK"))</x:f>
        <x:v>OK</x:v>
      </x:c>
      <x:c r="C73" t="str">
        <x:f>IF(Daily_Operations!U73="DATA_INCOMPLETE","BLOCKED",IF(Daily_Operations!I73&gt;=0.39,"HIGH","OK"))</x:f>
        <x:v>OK</x:v>
      </x:c>
      <x:c r="D73" t="str">
        <x:f>IF(Daily_Operations!U73="DATA_INCOMPLETE","BLOCKED",IF(Daily_Operations!P73&lt;=-5,"CRITICAL","OK"))</x:f>
        <x:v>OK</x:v>
      </x:c>
      <x:c r="E73" t="str">
        <x:f>IF(Daily_Operations!U73="DATA_INCOMPLETE","BLOCKED",IFERROR(IF(Daily_Operations!M73/Daily_Operations!K73&gt;=0.05,"HIGH","OK"),"BLOCKED"))</x:f>
        <x:v>OK</x:v>
      </x:c>
      <x:c r="F73" t="str">
        <x:f>IF(Daily_Operations!U73="DATA_INCOMPLETE","BLOCKED",IF(OR(Daily_Operations!S73&gt;=5,Daily_Operations!R73&lt;4.2),"MEDIUM","OK"))</x:f>
        <x:v>OK</x:v>
      </x:c>
      <x:c r="G73" t="str">
        <x:f>IF(Daily_Operations!U73="DATA_INCOMPLETE","DATA_INCOMPLETE","OK")</x:f>
        <x:v>OK</x:v>
      </x:c>
      <x:c r="H73" t="str">
        <x:f>IF(G73="DATA_INCOMPLETE","GA-007",IF(D73="CRITICAL","GA-002",IF(B73="HIGH","GA-001",IF(C73="HIGH",Daily_Operations!V73,IF(E73="HIGH","GA-004",IF(F73="MEDIUM","GA-006",""))))))</x:f>
      </x:c>
      <x:c r="I73" t="str">
        <x:f>IF(G73="DATA_INCOMPLETE","CRITICAL",IF(D73="CRITICAL","CRITICAL",IF(OR(B73="HIGH",C73="HIGH",E73="HIGH"),"HIGH",IF(F73="MEDIUM","MEDIUM","NORMAL"))))</x:f>
        <x:v>NORMAL</x:v>
      </x:c>
    </x:row>
    <x:row r="74">
      <x:c r="A74" s="15" t="n">
        <x:v>46246</x:v>
      </x:c>
      <x:c r="B74" t="str">
        <x:f>IF(Daily_Operations!U74="DATA_INCOMPLETE","BLOCKED",IF(Daily_Operations!G74&gt;=0.33,"HIGH","OK"))</x:f>
        <x:v>OK</x:v>
      </x:c>
      <x:c r="C74" t="str">
        <x:f>IF(Daily_Operations!U74="DATA_INCOMPLETE","BLOCKED",IF(Daily_Operations!I74&gt;=0.39,"HIGH","OK"))</x:f>
        <x:v>OK</x:v>
      </x:c>
      <x:c r="D74" t="str">
        <x:f>IF(Daily_Operations!U74="DATA_INCOMPLETE","BLOCKED",IF(Daily_Operations!P74&lt;=-5,"CRITICAL","OK"))</x:f>
        <x:v>OK</x:v>
      </x:c>
      <x:c r="E74" t="str">
        <x:f>IF(Daily_Operations!U74="DATA_INCOMPLETE","BLOCKED",IFERROR(IF(Daily_Operations!M74/Daily_Operations!K74&gt;=0.05,"HIGH","OK"),"BLOCKED"))</x:f>
        <x:v>OK</x:v>
      </x:c>
      <x:c r="F74" t="str">
        <x:f>IF(Daily_Operations!U74="DATA_INCOMPLETE","BLOCKED",IF(OR(Daily_Operations!S74&gt;=5,Daily_Operations!R74&lt;4.2),"MEDIUM","OK"))</x:f>
        <x:v>OK</x:v>
      </x:c>
      <x:c r="G74" t="str">
        <x:f>IF(Daily_Operations!U74="DATA_INCOMPLETE","DATA_INCOMPLETE","OK")</x:f>
        <x:v>OK</x:v>
      </x:c>
      <x:c r="H74" t="str">
        <x:f>IF(G74="DATA_INCOMPLETE","GA-007",IF(D74="CRITICAL","GA-002",IF(B74="HIGH","GA-001",IF(C74="HIGH",Daily_Operations!V74,IF(E74="HIGH","GA-004",IF(F74="MEDIUM","GA-006",""))))))</x:f>
      </x:c>
      <x:c r="I74" t="str">
        <x:f>IF(G74="DATA_INCOMPLETE","CRITICAL",IF(D74="CRITICAL","CRITICAL",IF(OR(B74="HIGH",C74="HIGH",E74="HIGH"),"HIGH",IF(F74="MEDIUM","MEDIUM","NORMAL"))))</x:f>
        <x:v>NORMAL</x:v>
      </x:c>
    </x:row>
    <x:row r="75">
      <x:c r="A75" s="15" t="n">
        <x:v>46247</x:v>
      </x:c>
      <x:c r="B75" t="str">
        <x:f>IF(Daily_Operations!U75="DATA_INCOMPLETE","BLOCKED",IF(Daily_Operations!G75&gt;=0.33,"HIGH","OK"))</x:f>
        <x:v>OK</x:v>
      </x:c>
      <x:c r="C75" t="str">
        <x:f>IF(Daily_Operations!U75="DATA_INCOMPLETE","BLOCKED",IF(Daily_Operations!I75&gt;=0.39,"HIGH","OK"))</x:f>
        <x:v>OK</x:v>
      </x:c>
      <x:c r="D75" t="str">
        <x:f>IF(Daily_Operations!U75="DATA_INCOMPLETE","BLOCKED",IF(Daily_Operations!P75&lt;=-5,"CRITICAL","OK"))</x:f>
        <x:v>OK</x:v>
      </x:c>
      <x:c r="E75" t="str">
        <x:f>IF(Daily_Operations!U75="DATA_INCOMPLETE","BLOCKED",IFERROR(IF(Daily_Operations!M75/Daily_Operations!K75&gt;=0.05,"HIGH","OK"),"BLOCKED"))</x:f>
        <x:v>OK</x:v>
      </x:c>
      <x:c r="F75" t="str">
        <x:f>IF(Daily_Operations!U75="DATA_INCOMPLETE","BLOCKED",IF(OR(Daily_Operations!S75&gt;=5,Daily_Operations!R75&lt;4.2),"MEDIUM","OK"))</x:f>
        <x:v>OK</x:v>
      </x:c>
      <x:c r="G75" t="str">
        <x:f>IF(Daily_Operations!U75="DATA_INCOMPLETE","DATA_INCOMPLETE","OK")</x:f>
        <x:v>OK</x:v>
      </x:c>
      <x:c r="H75" t="str">
        <x:f>IF(G75="DATA_INCOMPLETE","GA-007",IF(D75="CRITICAL","GA-002",IF(B75="HIGH","GA-001",IF(C75="HIGH",Daily_Operations!V75,IF(E75="HIGH","GA-004",IF(F75="MEDIUM","GA-006",""))))))</x:f>
      </x:c>
      <x:c r="I75" t="str">
        <x:f>IF(G75="DATA_INCOMPLETE","CRITICAL",IF(D75="CRITICAL","CRITICAL",IF(OR(B75="HIGH",C75="HIGH",E75="HIGH"),"HIGH",IF(F75="MEDIUM","MEDIUM","NORMAL"))))</x:f>
        <x:v>NORMAL</x:v>
      </x:c>
    </x:row>
    <x:row r="76">
      <x:c r="A76" s="15" t="n">
        <x:v>46248</x:v>
      </x:c>
      <x:c r="B76" t="str">
        <x:f>IF(Daily_Operations!U76="DATA_INCOMPLETE","BLOCKED",IF(Daily_Operations!G76&gt;=0.33,"HIGH","OK"))</x:f>
        <x:v>OK</x:v>
      </x:c>
      <x:c r="C76" t="str">
        <x:f>IF(Daily_Operations!U76="DATA_INCOMPLETE","BLOCKED",IF(Daily_Operations!I76&gt;=0.39,"HIGH","OK"))</x:f>
        <x:v>OK</x:v>
      </x:c>
      <x:c r="D76" t="str">
        <x:f>IF(Daily_Operations!U76="DATA_INCOMPLETE","BLOCKED",IF(Daily_Operations!P76&lt;=-5,"CRITICAL","OK"))</x:f>
        <x:v>OK</x:v>
      </x:c>
      <x:c r="E76" t="str">
        <x:f>IF(Daily_Operations!U76="DATA_INCOMPLETE","BLOCKED",IFERROR(IF(Daily_Operations!M76/Daily_Operations!K76&gt;=0.05,"HIGH","OK"),"BLOCKED"))</x:f>
        <x:v>OK</x:v>
      </x:c>
      <x:c r="F76" t="str">
        <x:f>IF(Daily_Operations!U76="DATA_INCOMPLETE","BLOCKED",IF(OR(Daily_Operations!S76&gt;=5,Daily_Operations!R76&lt;4.2),"MEDIUM","OK"))</x:f>
        <x:v>OK</x:v>
      </x:c>
      <x:c r="G76" t="str">
        <x:f>IF(Daily_Operations!U76="DATA_INCOMPLETE","DATA_INCOMPLETE","OK")</x:f>
        <x:v>OK</x:v>
      </x:c>
      <x:c r="H76" t="str">
        <x:f>IF(G76="DATA_INCOMPLETE","GA-007",IF(D76="CRITICAL","GA-002",IF(B76="HIGH","GA-001",IF(C76="HIGH",Daily_Operations!V76,IF(E76="HIGH","GA-004",IF(F76="MEDIUM","GA-006",""))))))</x:f>
      </x:c>
      <x:c r="I76" t="str">
        <x:f>IF(G76="DATA_INCOMPLETE","CRITICAL",IF(D76="CRITICAL","CRITICAL",IF(OR(B76="HIGH",C76="HIGH",E76="HIGH"),"HIGH",IF(F76="MEDIUM","MEDIUM","NORMAL"))))</x:f>
        <x:v>NORMAL</x:v>
      </x:c>
    </x:row>
    <x:row r="77">
      <x:c r="A77" s="15" t="n">
        <x:v>46249</x:v>
      </x:c>
      <x:c r="B77" t="str">
        <x:f>IF(Daily_Operations!U77="DATA_INCOMPLETE","BLOCKED",IF(Daily_Operations!G77&gt;=0.33,"HIGH","OK"))</x:f>
        <x:v>OK</x:v>
      </x:c>
      <x:c r="C77" t="str">
        <x:f>IF(Daily_Operations!U77="DATA_INCOMPLETE","BLOCKED",IF(Daily_Operations!I77&gt;=0.39,"HIGH","OK"))</x:f>
        <x:v>OK</x:v>
      </x:c>
      <x:c r="D77" t="str">
        <x:f>IF(Daily_Operations!U77="DATA_INCOMPLETE","BLOCKED",IF(Daily_Operations!P77&lt;=-5,"CRITICAL","OK"))</x:f>
        <x:v>OK</x:v>
      </x:c>
      <x:c r="E77" t="str">
        <x:f>IF(Daily_Operations!U77="DATA_INCOMPLETE","BLOCKED",IFERROR(IF(Daily_Operations!M77/Daily_Operations!K77&gt;=0.05,"HIGH","OK"),"BLOCKED"))</x:f>
        <x:v>OK</x:v>
      </x:c>
      <x:c r="F77" t="str">
        <x:f>IF(Daily_Operations!U77="DATA_INCOMPLETE","BLOCKED",IF(OR(Daily_Operations!S77&gt;=5,Daily_Operations!R77&lt;4.2),"MEDIUM","OK"))</x:f>
        <x:v>MEDIUM</x:v>
      </x:c>
      <x:c r="G77" t="str">
        <x:f>IF(Daily_Operations!U77="DATA_INCOMPLETE","DATA_INCOMPLETE","OK")</x:f>
        <x:v>OK</x:v>
      </x:c>
      <x:c r="H77" t="str">
        <x:f>IF(G77="DATA_INCOMPLETE","GA-007",IF(D77="CRITICAL","GA-002",IF(B77="HIGH","GA-001",IF(C77="HIGH",Daily_Operations!V77,IF(E77="HIGH","GA-004",IF(F77="MEDIUM","GA-006",""))))))</x:f>
        <x:v>GA-006</x:v>
      </x:c>
      <x:c r="I77" t="str">
        <x:f>IF(G77="DATA_INCOMPLETE","CRITICAL",IF(D77="CRITICAL","CRITICAL",IF(OR(B77="HIGH",C77="HIGH",E77="HIGH"),"HIGH",IF(F77="MEDIUM","MEDIUM","NORMAL"))))</x:f>
        <x:v>MEDIUM</x:v>
      </x:c>
    </x:row>
    <x:row r="78">
      <x:c r="A78" s="15" t="n">
        <x:v>46250</x:v>
      </x:c>
      <x:c r="B78" t="str">
        <x:f>IF(Daily_Operations!U78="DATA_INCOMPLETE","BLOCKED",IF(Daily_Operations!G78&gt;=0.33,"HIGH","OK"))</x:f>
        <x:v>OK</x:v>
      </x:c>
      <x:c r="C78" t="str">
        <x:f>IF(Daily_Operations!U78="DATA_INCOMPLETE","BLOCKED",IF(Daily_Operations!I78&gt;=0.39,"HIGH","OK"))</x:f>
        <x:v>OK</x:v>
      </x:c>
      <x:c r="D78" t="str">
        <x:f>IF(Daily_Operations!U78="DATA_INCOMPLETE","BLOCKED",IF(Daily_Operations!P78&lt;=-5,"CRITICAL","OK"))</x:f>
        <x:v>OK</x:v>
      </x:c>
      <x:c r="E78" t="str">
        <x:f>IF(Daily_Operations!U78="DATA_INCOMPLETE","BLOCKED",IFERROR(IF(Daily_Operations!M78/Daily_Operations!K78&gt;=0.05,"HIGH","OK"),"BLOCKED"))</x:f>
        <x:v>OK</x:v>
      </x:c>
      <x:c r="F78" t="str">
        <x:f>IF(Daily_Operations!U78="DATA_INCOMPLETE","BLOCKED",IF(OR(Daily_Operations!S78&gt;=5,Daily_Operations!R78&lt;4.2),"MEDIUM","OK"))</x:f>
        <x:v>OK</x:v>
      </x:c>
      <x:c r="G78" t="str">
        <x:f>IF(Daily_Operations!U78="DATA_INCOMPLETE","DATA_INCOMPLETE","OK")</x:f>
        <x:v>OK</x:v>
      </x:c>
      <x:c r="H78" t="str">
        <x:f>IF(G78="DATA_INCOMPLETE","GA-007",IF(D78="CRITICAL","GA-002",IF(B78="HIGH","GA-001",IF(C78="HIGH",Daily_Operations!V78,IF(E78="HIGH","GA-004",IF(F78="MEDIUM","GA-006",""))))))</x:f>
      </x:c>
      <x:c r="I78" t="str">
        <x:f>IF(G78="DATA_INCOMPLETE","CRITICAL",IF(D78="CRITICAL","CRITICAL",IF(OR(B78="HIGH",C78="HIGH",E78="HIGH"),"HIGH",IF(F78="MEDIUM","MEDIUM","NORMAL"))))</x:f>
        <x:v>NORMAL</x:v>
      </x:c>
    </x:row>
    <x:row r="79">
      <x:c r="A79" s="15" t="n">
        <x:v>46251</x:v>
      </x:c>
      <x:c r="B79" t="str">
        <x:f>IF(Daily_Operations!U79="DATA_INCOMPLETE","BLOCKED",IF(Daily_Operations!G79&gt;=0.33,"HIGH","OK"))</x:f>
        <x:v>OK</x:v>
      </x:c>
      <x:c r="C79" t="str">
        <x:f>IF(Daily_Operations!U79="DATA_INCOMPLETE","BLOCKED",IF(Daily_Operations!I79&gt;=0.39,"HIGH","OK"))</x:f>
        <x:v>OK</x:v>
      </x:c>
      <x:c r="D79" t="str">
        <x:f>IF(Daily_Operations!U79="DATA_INCOMPLETE","BLOCKED",IF(Daily_Operations!P79&lt;=-5,"CRITICAL","OK"))</x:f>
        <x:v>OK</x:v>
      </x:c>
      <x:c r="E79" t="str">
        <x:f>IF(Daily_Operations!U79="DATA_INCOMPLETE","BLOCKED",IFERROR(IF(Daily_Operations!M79/Daily_Operations!K79&gt;=0.05,"HIGH","OK"),"BLOCKED"))</x:f>
        <x:v>OK</x:v>
      </x:c>
      <x:c r="F79" t="str">
        <x:f>IF(Daily_Operations!U79="DATA_INCOMPLETE","BLOCKED",IF(OR(Daily_Operations!S79&gt;=5,Daily_Operations!R79&lt;4.2),"MEDIUM","OK"))</x:f>
        <x:v>OK</x:v>
      </x:c>
      <x:c r="G79" t="str">
        <x:f>IF(Daily_Operations!U79="DATA_INCOMPLETE","DATA_INCOMPLETE","OK")</x:f>
        <x:v>OK</x:v>
      </x:c>
      <x:c r="H79" t="str">
        <x:f>IF(G79="DATA_INCOMPLETE","GA-007",IF(D79="CRITICAL","GA-002",IF(B79="HIGH","GA-001",IF(C79="HIGH",Daily_Operations!V79,IF(E79="HIGH","GA-004",IF(F79="MEDIUM","GA-006",""))))))</x:f>
      </x:c>
      <x:c r="I79" t="str">
        <x:f>IF(G79="DATA_INCOMPLETE","CRITICAL",IF(D79="CRITICAL","CRITICAL",IF(OR(B79="HIGH",C79="HIGH",E79="HIGH"),"HIGH",IF(F79="MEDIUM","MEDIUM","NORMAL"))))</x:f>
        <x:v>NORMAL</x:v>
      </x:c>
    </x:row>
    <x:row r="80">
      <x:c r="A80" s="15" t="n">
        <x:v>46252</x:v>
      </x:c>
      <x:c r="B80" t="str">
        <x:f>IF(Daily_Operations!U80="DATA_INCOMPLETE","BLOCKED",IF(Daily_Operations!G80&gt;=0.33,"HIGH","OK"))</x:f>
        <x:v>OK</x:v>
      </x:c>
      <x:c r="C80" t="str">
        <x:f>IF(Daily_Operations!U80="DATA_INCOMPLETE","BLOCKED",IF(Daily_Operations!I80&gt;=0.39,"HIGH","OK"))</x:f>
        <x:v>OK</x:v>
      </x:c>
      <x:c r="D80" t="str">
        <x:f>IF(Daily_Operations!U80="DATA_INCOMPLETE","BLOCKED",IF(Daily_Operations!P80&lt;=-5,"CRITICAL","OK"))</x:f>
        <x:v>OK</x:v>
      </x:c>
      <x:c r="E80" t="str">
        <x:f>IF(Daily_Operations!U80="DATA_INCOMPLETE","BLOCKED",IFERROR(IF(Daily_Operations!M80/Daily_Operations!K80&gt;=0.05,"HIGH","OK"),"BLOCKED"))</x:f>
        <x:v>OK</x:v>
      </x:c>
      <x:c r="F80" t="str">
        <x:f>IF(Daily_Operations!U80="DATA_INCOMPLETE","BLOCKED",IF(OR(Daily_Operations!S80&gt;=5,Daily_Operations!R80&lt;4.2),"MEDIUM","OK"))</x:f>
        <x:v>OK</x:v>
      </x:c>
      <x:c r="G80" t="str">
        <x:f>IF(Daily_Operations!U80="DATA_INCOMPLETE","DATA_INCOMPLETE","OK")</x:f>
        <x:v>OK</x:v>
      </x:c>
      <x:c r="H80" t="str">
        <x:f>IF(G80="DATA_INCOMPLETE","GA-007",IF(D80="CRITICAL","GA-002",IF(B80="HIGH","GA-001",IF(C80="HIGH",Daily_Operations!V80,IF(E80="HIGH","GA-004",IF(F80="MEDIUM","GA-006",""))))))</x:f>
      </x:c>
      <x:c r="I80" t="str">
        <x:f>IF(G80="DATA_INCOMPLETE","CRITICAL",IF(D80="CRITICAL","CRITICAL",IF(OR(B80="HIGH",C80="HIGH",E80="HIGH"),"HIGH",IF(F80="MEDIUM","MEDIUM","NORMAL"))))</x:f>
        <x:v>NORMAL</x:v>
      </x:c>
    </x:row>
    <x:row r="81">
      <x:c r="A81" s="15" t="n">
        <x:v>46253</x:v>
      </x:c>
      <x:c r="B81" t="str">
        <x:f>IF(Daily_Operations!U81="DATA_INCOMPLETE","BLOCKED",IF(Daily_Operations!G81&gt;=0.33,"HIGH","OK"))</x:f>
        <x:v>OK</x:v>
      </x:c>
      <x:c r="C81" t="str">
        <x:f>IF(Daily_Operations!U81="DATA_INCOMPLETE","BLOCKED",IF(Daily_Operations!I81&gt;=0.39,"HIGH","OK"))</x:f>
        <x:v>OK</x:v>
      </x:c>
      <x:c r="D81" t="str">
        <x:f>IF(Daily_Operations!U81="DATA_INCOMPLETE","BLOCKED",IF(Daily_Operations!P81&lt;=-5,"CRITICAL","OK"))</x:f>
        <x:v>OK</x:v>
      </x:c>
      <x:c r="E81" t="str">
        <x:f>IF(Daily_Operations!U81="DATA_INCOMPLETE","BLOCKED",IFERROR(IF(Daily_Operations!M81/Daily_Operations!K81&gt;=0.05,"HIGH","OK"),"BLOCKED"))</x:f>
        <x:v>OK</x:v>
      </x:c>
      <x:c r="F81" t="str">
        <x:f>IF(Daily_Operations!U81="DATA_INCOMPLETE","BLOCKED",IF(OR(Daily_Operations!S81&gt;=5,Daily_Operations!R81&lt;4.2),"MEDIUM","OK"))</x:f>
        <x:v>OK</x:v>
      </x:c>
      <x:c r="G81" t="str">
        <x:f>IF(Daily_Operations!U81="DATA_INCOMPLETE","DATA_INCOMPLETE","OK")</x:f>
        <x:v>OK</x:v>
      </x:c>
      <x:c r="H81" t="str">
        <x:f>IF(G81="DATA_INCOMPLETE","GA-007",IF(D81="CRITICAL","GA-002",IF(B81="HIGH","GA-001",IF(C81="HIGH",Daily_Operations!V81,IF(E81="HIGH","GA-004",IF(F81="MEDIUM","GA-006",""))))))</x:f>
      </x:c>
      <x:c r="I81" t="str">
        <x:f>IF(G81="DATA_INCOMPLETE","CRITICAL",IF(D81="CRITICAL","CRITICAL",IF(OR(B81="HIGH",C81="HIGH",E81="HIGH"),"HIGH",IF(F81="MEDIUM","MEDIUM","NORMAL"))))</x:f>
        <x:v>NORMAL</x:v>
      </x:c>
    </x:row>
    <x:row r="82">
      <x:c r="A82" s="15" t="n">
        <x:v>46254</x:v>
      </x:c>
      <x:c r="B82" t="str">
        <x:f>IF(Daily_Operations!U82="DATA_INCOMPLETE","BLOCKED",IF(Daily_Operations!G82&gt;=0.33,"HIGH","OK"))</x:f>
        <x:v>OK</x:v>
      </x:c>
      <x:c r="C82" t="str">
        <x:f>IF(Daily_Operations!U82="DATA_INCOMPLETE","BLOCKED",IF(Daily_Operations!I82&gt;=0.39,"HIGH","OK"))</x:f>
        <x:v>OK</x:v>
      </x:c>
      <x:c r="D82" t="str">
        <x:f>IF(Daily_Operations!U82="DATA_INCOMPLETE","BLOCKED",IF(Daily_Operations!P82&lt;=-5,"CRITICAL","OK"))</x:f>
        <x:v>OK</x:v>
      </x:c>
      <x:c r="E82" t="str">
        <x:f>IF(Daily_Operations!U82="DATA_INCOMPLETE","BLOCKED",IFERROR(IF(Daily_Operations!M82/Daily_Operations!K82&gt;=0.05,"HIGH","OK"),"BLOCKED"))</x:f>
        <x:v>OK</x:v>
      </x:c>
      <x:c r="F82" t="str">
        <x:f>IF(Daily_Operations!U82="DATA_INCOMPLETE","BLOCKED",IF(OR(Daily_Operations!S82&gt;=5,Daily_Operations!R82&lt;4.2),"MEDIUM","OK"))</x:f>
        <x:v>OK</x:v>
      </x:c>
      <x:c r="G82" t="str">
        <x:f>IF(Daily_Operations!U82="DATA_INCOMPLETE","DATA_INCOMPLETE","OK")</x:f>
        <x:v>OK</x:v>
      </x:c>
      <x:c r="H82" t="str">
        <x:f>IF(G82="DATA_INCOMPLETE","GA-007",IF(D82="CRITICAL","GA-002",IF(B82="HIGH","GA-001",IF(C82="HIGH",Daily_Operations!V82,IF(E82="HIGH","GA-004",IF(F82="MEDIUM","GA-006",""))))))</x:f>
      </x:c>
      <x:c r="I82" t="str">
        <x:f>IF(G82="DATA_INCOMPLETE","CRITICAL",IF(D82="CRITICAL","CRITICAL",IF(OR(B82="HIGH",C82="HIGH",E82="HIGH"),"HIGH",IF(F82="MEDIUM","MEDIUM","NORMAL"))))</x:f>
        <x:v>NORMAL</x:v>
      </x:c>
    </x:row>
    <x:row r="83">
      <x:c r="A83" s="15" t="n">
        <x:v>46255</x:v>
      </x:c>
      <x:c r="B83" t="str">
        <x:f>IF(Daily_Operations!U83="DATA_INCOMPLETE","BLOCKED",IF(Daily_Operations!G83&gt;=0.33,"HIGH","OK"))</x:f>
        <x:v>BLOCKED</x:v>
      </x:c>
      <x:c r="C83" t="str">
        <x:f>IF(Daily_Operations!U83="DATA_INCOMPLETE","BLOCKED",IF(Daily_Operations!I83&gt;=0.39,"HIGH","OK"))</x:f>
        <x:v>BLOCKED</x:v>
      </x:c>
      <x:c r="D83" t="str">
        <x:f>IF(Daily_Operations!U83="DATA_INCOMPLETE","BLOCKED",IF(Daily_Operations!P83&lt;=-5,"CRITICAL","OK"))</x:f>
        <x:v>BLOCKED</x:v>
      </x:c>
      <x:c r="E83" t="str">
        <x:f>IF(Daily_Operations!U83="DATA_INCOMPLETE","BLOCKED",IFERROR(IF(Daily_Operations!M83/Daily_Operations!K83&gt;=0.05,"HIGH","OK"),"BLOCKED"))</x:f>
        <x:v>BLOCKED</x:v>
      </x:c>
      <x:c r="F83" t="str">
        <x:f>IF(Daily_Operations!U83="DATA_INCOMPLETE","BLOCKED",IF(OR(Daily_Operations!S83&gt;=5,Daily_Operations!R83&lt;4.2),"MEDIUM","OK"))</x:f>
        <x:v>BLOCKED</x:v>
      </x:c>
      <x:c r="G83" t="str">
        <x:f>IF(Daily_Operations!U83="DATA_INCOMPLETE","DATA_INCOMPLETE","OK")</x:f>
        <x:v>DATA_INCOMPLETE</x:v>
      </x:c>
      <x:c r="H83" t="str">
        <x:f>IF(G83="DATA_INCOMPLETE","GA-007",IF(D83="CRITICAL","GA-002",IF(B83="HIGH","GA-001",IF(C83="HIGH",Daily_Operations!V83,IF(E83="HIGH","GA-004",IF(F83="MEDIUM","GA-006",""))))))</x:f>
        <x:v>GA-007</x:v>
      </x:c>
      <x:c r="I83" t="str">
        <x:f>IF(G83="DATA_INCOMPLETE","CRITICAL",IF(D83="CRITICAL","CRITICAL",IF(OR(B83="HIGH",C83="HIGH",E83="HIGH"),"HIGH",IF(F83="MEDIUM","MEDIUM","NORMAL"))))</x:f>
        <x:v>CRITICAL</x:v>
      </x:c>
    </x:row>
    <x:row r="84">
      <x:c r="A84" s="15" t="n">
        <x:v>46256</x:v>
      </x:c>
      <x:c r="B84" t="str">
        <x:f>IF(Daily_Operations!U84="DATA_INCOMPLETE","BLOCKED",IF(Daily_Operations!G84&gt;=0.33,"HIGH","OK"))</x:f>
        <x:v>OK</x:v>
      </x:c>
      <x:c r="C84" t="str">
        <x:f>IF(Daily_Operations!U84="DATA_INCOMPLETE","BLOCKED",IF(Daily_Operations!I84&gt;=0.39,"HIGH","OK"))</x:f>
        <x:v>OK</x:v>
      </x:c>
      <x:c r="D84" t="str">
        <x:f>IF(Daily_Operations!U84="DATA_INCOMPLETE","BLOCKED",IF(Daily_Operations!P84&lt;=-5,"CRITICAL","OK"))</x:f>
        <x:v>OK</x:v>
      </x:c>
      <x:c r="E84" t="str">
        <x:f>IF(Daily_Operations!U84="DATA_INCOMPLETE","BLOCKED",IFERROR(IF(Daily_Operations!M84/Daily_Operations!K84&gt;=0.05,"HIGH","OK"),"BLOCKED"))</x:f>
        <x:v>OK</x:v>
      </x:c>
      <x:c r="F84" t="str">
        <x:f>IF(Daily_Operations!U84="DATA_INCOMPLETE","BLOCKED",IF(OR(Daily_Operations!S84&gt;=5,Daily_Operations!R84&lt;4.2),"MEDIUM","OK"))</x:f>
        <x:v>OK</x:v>
      </x:c>
      <x:c r="G84" t="str">
        <x:f>IF(Daily_Operations!U84="DATA_INCOMPLETE","DATA_INCOMPLETE","OK")</x:f>
        <x:v>OK</x:v>
      </x:c>
      <x:c r="H84" t="str">
        <x:f>IF(G84="DATA_INCOMPLETE","GA-007",IF(D84="CRITICAL","GA-002",IF(B84="HIGH","GA-001",IF(C84="HIGH",Daily_Operations!V84,IF(E84="HIGH","GA-004",IF(F84="MEDIUM","GA-006",""))))))</x:f>
      </x:c>
      <x:c r="I84" t="str">
        <x:f>IF(G84="DATA_INCOMPLETE","CRITICAL",IF(D84="CRITICAL","CRITICAL",IF(OR(B84="HIGH",C84="HIGH",E84="HIGH"),"HIGH",IF(F84="MEDIUM","MEDIUM","NORMAL"))))</x:f>
        <x:v>NORMAL</x:v>
      </x:c>
    </x:row>
    <x:row r="85">
      <x:c r="A85" s="15" t="n">
        <x:v>46257</x:v>
      </x:c>
      <x:c r="B85" t="str">
        <x:f>IF(Daily_Operations!U85="DATA_INCOMPLETE","BLOCKED",IF(Daily_Operations!G85&gt;=0.33,"HIGH","OK"))</x:f>
        <x:v>OK</x:v>
      </x:c>
      <x:c r="C85" t="str">
        <x:f>IF(Daily_Operations!U85="DATA_INCOMPLETE","BLOCKED",IF(Daily_Operations!I85&gt;=0.39,"HIGH","OK"))</x:f>
        <x:v>OK</x:v>
      </x:c>
      <x:c r="D85" t="str">
        <x:f>IF(Daily_Operations!U85="DATA_INCOMPLETE","BLOCKED",IF(Daily_Operations!P85&lt;=-5,"CRITICAL","OK"))</x:f>
        <x:v>OK</x:v>
      </x:c>
      <x:c r="E85" t="str">
        <x:f>IF(Daily_Operations!U85="DATA_INCOMPLETE","BLOCKED",IFERROR(IF(Daily_Operations!M85/Daily_Operations!K85&gt;=0.05,"HIGH","OK"),"BLOCKED"))</x:f>
        <x:v>OK</x:v>
      </x:c>
      <x:c r="F85" t="str">
        <x:f>IF(Daily_Operations!U85="DATA_INCOMPLETE","BLOCKED",IF(OR(Daily_Operations!S85&gt;=5,Daily_Operations!R85&lt;4.2),"MEDIUM","OK"))</x:f>
        <x:v>OK</x:v>
      </x:c>
      <x:c r="G85" t="str">
        <x:f>IF(Daily_Operations!U85="DATA_INCOMPLETE","DATA_INCOMPLETE","OK")</x:f>
        <x:v>OK</x:v>
      </x:c>
      <x:c r="H85" t="str">
        <x:f>IF(G85="DATA_INCOMPLETE","GA-007",IF(D85="CRITICAL","GA-002",IF(B85="HIGH","GA-001",IF(C85="HIGH",Daily_Operations!V85,IF(E85="HIGH","GA-004",IF(F85="MEDIUM","GA-006",""))))))</x:f>
      </x:c>
      <x:c r="I85" t="str">
        <x:f>IF(G85="DATA_INCOMPLETE","CRITICAL",IF(D85="CRITICAL","CRITICAL",IF(OR(B85="HIGH",C85="HIGH",E85="HIGH"),"HIGH",IF(F85="MEDIUM","MEDIUM","NORMAL"))))</x:f>
        <x:v>NORMAL</x:v>
      </x:c>
    </x:row>
    <x:row r="86">
      <x:c r="A86" s="15" t="n">
        <x:v>46258</x:v>
      </x:c>
      <x:c r="B86" t="str">
        <x:f>IF(Daily_Operations!U86="DATA_INCOMPLETE","BLOCKED",IF(Daily_Operations!G86&gt;=0.33,"HIGH","OK"))</x:f>
        <x:v>OK</x:v>
      </x:c>
      <x:c r="C86" t="str">
        <x:f>IF(Daily_Operations!U86="DATA_INCOMPLETE","BLOCKED",IF(Daily_Operations!I86&gt;=0.39,"HIGH","OK"))</x:f>
        <x:v>OK</x:v>
      </x:c>
      <x:c r="D86" t="str">
        <x:f>IF(Daily_Operations!U86="DATA_INCOMPLETE","BLOCKED",IF(Daily_Operations!P86&lt;=-5,"CRITICAL","OK"))</x:f>
        <x:v>OK</x:v>
      </x:c>
      <x:c r="E86" t="str">
        <x:f>IF(Daily_Operations!U86="DATA_INCOMPLETE","BLOCKED",IFERROR(IF(Daily_Operations!M86/Daily_Operations!K86&gt;=0.05,"HIGH","OK"),"BLOCKED"))</x:f>
        <x:v>OK</x:v>
      </x:c>
      <x:c r="F86" t="str">
        <x:f>IF(Daily_Operations!U86="DATA_INCOMPLETE","BLOCKED",IF(OR(Daily_Operations!S86&gt;=5,Daily_Operations!R86&lt;4.2),"MEDIUM","OK"))</x:f>
        <x:v>OK</x:v>
      </x:c>
      <x:c r="G86" t="str">
        <x:f>IF(Daily_Operations!U86="DATA_INCOMPLETE","DATA_INCOMPLETE","OK")</x:f>
        <x:v>OK</x:v>
      </x:c>
      <x:c r="H86" t="str">
        <x:f>IF(G86="DATA_INCOMPLETE","GA-007",IF(D86="CRITICAL","GA-002",IF(B86="HIGH","GA-001",IF(C86="HIGH",Daily_Operations!V86,IF(E86="HIGH","GA-004",IF(F86="MEDIUM","GA-006",""))))))</x:f>
      </x:c>
      <x:c r="I86" t="str">
        <x:f>IF(G86="DATA_INCOMPLETE","CRITICAL",IF(D86="CRITICAL","CRITICAL",IF(OR(B86="HIGH",C86="HIGH",E86="HIGH"),"HIGH",IF(F86="MEDIUM","MEDIUM","NORMAL"))))</x:f>
        <x:v>NORMAL</x:v>
      </x:c>
    </x:row>
    <x:row r="87">
      <x:c r="A87" s="15" t="n">
        <x:v>46259</x:v>
      </x:c>
      <x:c r="B87" t="str">
        <x:f>IF(Daily_Operations!U87="DATA_INCOMPLETE","BLOCKED",IF(Daily_Operations!G87&gt;=0.33,"HIGH","OK"))</x:f>
        <x:v>OK</x:v>
      </x:c>
      <x:c r="C87" t="str">
        <x:f>IF(Daily_Operations!U87="DATA_INCOMPLETE","BLOCKED",IF(Daily_Operations!I87&gt;=0.39,"HIGH","OK"))</x:f>
        <x:v>OK</x:v>
      </x:c>
      <x:c r="D87" t="str">
        <x:f>IF(Daily_Operations!U87="DATA_INCOMPLETE","BLOCKED",IF(Daily_Operations!P87&lt;=-5,"CRITICAL","OK"))</x:f>
        <x:v>OK</x:v>
      </x:c>
      <x:c r="E87" t="str">
        <x:f>IF(Daily_Operations!U87="DATA_INCOMPLETE","BLOCKED",IFERROR(IF(Daily_Operations!M87/Daily_Operations!K87&gt;=0.05,"HIGH","OK"),"BLOCKED"))</x:f>
        <x:v>OK</x:v>
      </x:c>
      <x:c r="F87" t="str">
        <x:f>IF(Daily_Operations!U87="DATA_INCOMPLETE","BLOCKED",IF(OR(Daily_Operations!S87&gt;=5,Daily_Operations!R87&lt;4.2),"MEDIUM","OK"))</x:f>
        <x:v>OK</x:v>
      </x:c>
      <x:c r="G87" t="str">
        <x:f>IF(Daily_Operations!U87="DATA_INCOMPLETE","DATA_INCOMPLETE","OK")</x:f>
        <x:v>OK</x:v>
      </x:c>
      <x:c r="H87" t="str">
        <x:f>IF(G87="DATA_INCOMPLETE","GA-007",IF(D87="CRITICAL","GA-002",IF(B87="HIGH","GA-001",IF(C87="HIGH",Daily_Operations!V87,IF(E87="HIGH","GA-004",IF(F87="MEDIUM","GA-006",""))))))</x:f>
      </x:c>
      <x:c r="I87" t="str">
        <x:f>IF(G87="DATA_INCOMPLETE","CRITICAL",IF(D87="CRITICAL","CRITICAL",IF(OR(B87="HIGH",C87="HIGH",E87="HIGH"),"HIGH",IF(F87="MEDIUM","MEDIUM","NORMAL"))))</x:f>
        <x:v>NORMAL</x:v>
      </x:c>
    </x:row>
    <x:row r="88">
      <x:c r="A88" s="15" t="n">
        <x:v>46260</x:v>
      </x:c>
      <x:c r="B88" t="str">
        <x:f>IF(Daily_Operations!U88="DATA_INCOMPLETE","BLOCKED",IF(Daily_Operations!G88&gt;=0.33,"HIGH","OK"))</x:f>
        <x:v>OK</x:v>
      </x:c>
      <x:c r="C88" t="str">
        <x:f>IF(Daily_Operations!U88="DATA_INCOMPLETE","BLOCKED",IF(Daily_Operations!I88&gt;=0.39,"HIGH","OK"))</x:f>
        <x:v>OK</x:v>
      </x:c>
      <x:c r="D88" t="str">
        <x:f>IF(Daily_Operations!U88="DATA_INCOMPLETE","BLOCKED",IF(Daily_Operations!P88&lt;=-5,"CRITICAL","OK"))</x:f>
        <x:v>OK</x:v>
      </x:c>
      <x:c r="E88" t="str">
        <x:f>IF(Daily_Operations!U88="DATA_INCOMPLETE","BLOCKED",IFERROR(IF(Daily_Operations!M88/Daily_Operations!K88&gt;=0.05,"HIGH","OK"),"BLOCKED"))</x:f>
        <x:v>OK</x:v>
      </x:c>
      <x:c r="F88" t="str">
        <x:f>IF(Daily_Operations!U88="DATA_INCOMPLETE","BLOCKED",IF(OR(Daily_Operations!S88&gt;=5,Daily_Operations!R88&lt;4.2),"MEDIUM","OK"))</x:f>
        <x:v>OK</x:v>
      </x:c>
      <x:c r="G88" t="str">
        <x:f>IF(Daily_Operations!U88="DATA_INCOMPLETE","DATA_INCOMPLETE","OK")</x:f>
        <x:v>OK</x:v>
      </x:c>
      <x:c r="H88" t="str">
        <x:f>IF(G88="DATA_INCOMPLETE","GA-007",IF(D88="CRITICAL","GA-002",IF(B88="HIGH","GA-001",IF(C88="HIGH",Daily_Operations!V88,IF(E88="HIGH","GA-004",IF(F88="MEDIUM","GA-006",""))))))</x:f>
      </x:c>
      <x:c r="I88" t="str">
        <x:f>IF(G88="DATA_INCOMPLETE","CRITICAL",IF(D88="CRITICAL","CRITICAL",IF(OR(B88="HIGH",C88="HIGH",E88="HIGH"),"HIGH",IF(F88="MEDIUM","MEDIUM","NORMAL"))))</x:f>
        <x:v>NORMAL</x:v>
      </x:c>
    </x:row>
    <x:row r="89">
      <x:c r="A89" s="15" t="n">
        <x:v>46261</x:v>
      </x:c>
      <x:c r="B89" t="str">
        <x:f>IF(Daily_Operations!U89="DATA_INCOMPLETE","BLOCKED",IF(Daily_Operations!G89&gt;=0.33,"HIGH","OK"))</x:f>
        <x:v>OK</x:v>
      </x:c>
      <x:c r="C89" t="str">
        <x:f>IF(Daily_Operations!U89="DATA_INCOMPLETE","BLOCKED",IF(Daily_Operations!I89&gt;=0.39,"HIGH","OK"))</x:f>
        <x:v>OK</x:v>
      </x:c>
      <x:c r="D89" t="str">
        <x:f>IF(Daily_Operations!U89="DATA_INCOMPLETE","BLOCKED",IF(Daily_Operations!P89&lt;=-5,"CRITICAL","OK"))</x:f>
        <x:v>OK</x:v>
      </x:c>
      <x:c r="E89" t="str">
        <x:f>IF(Daily_Operations!U89="DATA_INCOMPLETE","BLOCKED",IFERROR(IF(Daily_Operations!M89/Daily_Operations!K89&gt;=0.05,"HIGH","OK"),"BLOCKED"))</x:f>
        <x:v>OK</x:v>
      </x:c>
      <x:c r="F89" t="str">
        <x:f>IF(Daily_Operations!U89="DATA_INCOMPLETE","BLOCKED",IF(OR(Daily_Operations!S89&gt;=5,Daily_Operations!R89&lt;4.2),"MEDIUM","OK"))</x:f>
        <x:v>OK</x:v>
      </x:c>
      <x:c r="G89" t="str">
        <x:f>IF(Daily_Operations!U89="DATA_INCOMPLETE","DATA_INCOMPLETE","OK")</x:f>
        <x:v>OK</x:v>
      </x:c>
      <x:c r="H89" t="str">
        <x:f>IF(G89="DATA_INCOMPLETE","GA-007",IF(D89="CRITICAL","GA-002",IF(B89="HIGH","GA-001",IF(C89="HIGH",Daily_Operations!V89,IF(E89="HIGH","GA-004",IF(F89="MEDIUM","GA-006",""))))))</x:f>
      </x:c>
      <x:c r="I89" t="str">
        <x:f>IF(G89="DATA_INCOMPLETE","CRITICAL",IF(D89="CRITICAL","CRITICAL",IF(OR(B89="HIGH",C89="HIGH",E89="HIGH"),"HIGH",IF(F89="MEDIUM","MEDIUM","NORMAL"))))</x:f>
        <x:v>NORMAL</x:v>
      </x:c>
    </x:row>
    <x:row r="90">
      <x:c r="A90" s="15" t="n">
        <x:v>46262</x:v>
      </x:c>
      <x:c r="B90" t="str">
        <x:f>IF(Daily_Operations!U90="DATA_INCOMPLETE","BLOCKED",IF(Daily_Operations!G90&gt;=0.33,"HIGH","OK"))</x:f>
        <x:v>OK</x:v>
      </x:c>
      <x:c r="C90" t="str">
        <x:f>IF(Daily_Operations!U90="DATA_INCOMPLETE","BLOCKED",IF(Daily_Operations!I90&gt;=0.39,"HIGH","OK"))</x:f>
        <x:v>OK</x:v>
      </x:c>
      <x:c r="D90" t="str">
        <x:f>IF(Daily_Operations!U90="DATA_INCOMPLETE","BLOCKED",IF(Daily_Operations!P90&lt;=-5,"CRITICAL","OK"))</x:f>
        <x:v>OK</x:v>
      </x:c>
      <x:c r="E90" t="str">
        <x:f>IF(Daily_Operations!U90="DATA_INCOMPLETE","BLOCKED",IFERROR(IF(Daily_Operations!M90/Daily_Operations!K90&gt;=0.05,"HIGH","OK"),"BLOCKED"))</x:f>
        <x:v>OK</x:v>
      </x:c>
      <x:c r="F90" t="str">
        <x:f>IF(Daily_Operations!U90="DATA_INCOMPLETE","BLOCKED",IF(OR(Daily_Operations!S90&gt;=5,Daily_Operations!R90&lt;4.2),"MEDIUM","OK"))</x:f>
        <x:v>OK</x:v>
      </x:c>
      <x:c r="G90" t="str">
        <x:f>IF(Daily_Operations!U90="DATA_INCOMPLETE","DATA_INCOMPLETE","OK")</x:f>
        <x:v>OK</x:v>
      </x:c>
      <x:c r="H90" t="str">
        <x:f>IF(G90="DATA_INCOMPLETE","GA-007",IF(D90="CRITICAL","GA-002",IF(B90="HIGH","GA-001",IF(C90="HIGH",Daily_Operations!V90,IF(E90="HIGH","GA-004",IF(F90="MEDIUM","GA-006",""))))))</x:f>
      </x:c>
      <x:c r="I90" t="str">
        <x:f>IF(G90="DATA_INCOMPLETE","CRITICAL",IF(D90="CRITICAL","CRITICAL",IF(OR(B90="HIGH",C90="HIGH",E90="HIGH"),"HIGH",IF(F90="MEDIUM","MEDIUM","NORMAL"))))</x:f>
        <x:v>NORMAL</x:v>
      </x:c>
    </x:row>
    <x:row r="91">
      <x:c r="A91" s="15" t="n">
        <x:v>46263</x:v>
      </x:c>
      <x:c r="B91" t="str">
        <x:f>IF(Daily_Operations!U91="DATA_INCOMPLETE","BLOCKED",IF(Daily_Operations!G91&gt;=0.33,"HIGH","OK"))</x:f>
        <x:v>OK</x:v>
      </x:c>
      <x:c r="C91" t="str">
        <x:f>IF(Daily_Operations!U91="DATA_INCOMPLETE","BLOCKED",IF(Daily_Operations!I91&gt;=0.39,"HIGH","OK"))</x:f>
        <x:v>OK</x:v>
      </x:c>
      <x:c r="D91" t="str">
        <x:f>IF(Daily_Operations!U91="DATA_INCOMPLETE","BLOCKED",IF(Daily_Operations!P91&lt;=-5,"CRITICAL","OK"))</x:f>
        <x:v>OK</x:v>
      </x:c>
      <x:c r="E91" t="str">
        <x:f>IF(Daily_Operations!U91="DATA_INCOMPLETE","BLOCKED",IFERROR(IF(Daily_Operations!M91/Daily_Operations!K91&gt;=0.05,"HIGH","OK"),"BLOCKED"))</x:f>
        <x:v>OK</x:v>
      </x:c>
      <x:c r="F91" t="str">
        <x:f>IF(Daily_Operations!U91="DATA_INCOMPLETE","BLOCKED",IF(OR(Daily_Operations!S91&gt;=5,Daily_Operations!R91&lt;4.2),"MEDIUM","OK"))</x:f>
        <x:v>OK</x:v>
      </x:c>
      <x:c r="G91" t="str">
        <x:f>IF(Daily_Operations!U91="DATA_INCOMPLETE","DATA_INCOMPLETE","OK")</x:f>
        <x:v>OK</x:v>
      </x:c>
      <x:c r="H91" t="str">
        <x:f>IF(G91="DATA_INCOMPLETE","GA-007",IF(D91="CRITICAL","GA-002",IF(B91="HIGH","GA-001",IF(C91="HIGH",Daily_Operations!V91,IF(E91="HIGH","GA-004",IF(F91="MEDIUM","GA-006",""))))))</x:f>
      </x:c>
      <x:c r="I91" t="str">
        <x:f>IF(G91="DATA_INCOMPLETE","CRITICAL",IF(D91="CRITICAL","CRITICAL",IF(OR(B91="HIGH",C91="HIGH",E91="HIGH"),"HIGH",IF(F91="MEDIUM","MEDIUM","NORMAL"))))</x:f>
        <x:v>NORMAL</x:v>
      </x:c>
    </x:row>
    <x:row r="92">
      <x:c r="A92" s="15" t="n">
        <x:v>46264</x:v>
      </x:c>
      <x:c r="B92" t="str">
        <x:f>IF(Daily_Operations!U92="DATA_INCOMPLETE","BLOCKED",IF(Daily_Operations!G92&gt;=0.33,"HIGH","OK"))</x:f>
        <x:v>OK</x:v>
      </x:c>
      <x:c r="C92" t="str">
        <x:f>IF(Daily_Operations!U92="DATA_INCOMPLETE","BLOCKED",IF(Daily_Operations!I92&gt;=0.39,"HIGH","OK"))</x:f>
        <x:v>OK</x:v>
      </x:c>
      <x:c r="D92" t="str">
        <x:f>IF(Daily_Operations!U92="DATA_INCOMPLETE","BLOCKED",IF(Daily_Operations!P92&lt;=-5,"CRITICAL","OK"))</x:f>
        <x:v>OK</x:v>
      </x:c>
      <x:c r="E92" t="str">
        <x:f>IF(Daily_Operations!U92="DATA_INCOMPLETE","BLOCKED",IFERROR(IF(Daily_Operations!M92/Daily_Operations!K92&gt;=0.05,"HIGH","OK"),"BLOCKED"))</x:f>
        <x:v>OK</x:v>
      </x:c>
      <x:c r="F92" t="str">
        <x:f>IF(Daily_Operations!U92="DATA_INCOMPLETE","BLOCKED",IF(OR(Daily_Operations!S92&gt;=5,Daily_Operations!R92&lt;4.2),"MEDIUM","OK"))</x:f>
        <x:v>OK</x:v>
      </x:c>
      <x:c r="G92" t="str">
        <x:f>IF(Daily_Operations!U92="DATA_INCOMPLETE","DATA_INCOMPLETE","OK")</x:f>
        <x:v>OK</x:v>
      </x:c>
      <x:c r="H92" t="str">
        <x:f>IF(G92="DATA_INCOMPLETE","GA-007",IF(D92="CRITICAL","GA-002",IF(B92="HIGH","GA-001",IF(C92="HIGH",Daily_Operations!V92,IF(E92="HIGH","GA-004",IF(F92="MEDIUM","GA-006",""))))))</x:f>
      </x:c>
      <x:c r="I92" t="str">
        <x:f>IF(G92="DATA_INCOMPLETE","CRITICAL",IF(D92="CRITICAL","CRITICAL",IF(OR(B92="HIGH",C92="HIGH",E92="HIGH"),"HIGH",IF(F92="MEDIUM","MEDIUM","NORMAL"))))</x:f>
        <x:v>NORMAL</x:v>
      </x:c>
    </x:row>
    <x:row r="93">
      <x:c r="A93" s="15" t="n">
        <x:v>46265</x:v>
      </x:c>
      <x:c r="B93" t="str">
        <x:f>IF(Daily_Operations!U93="DATA_INCOMPLETE","BLOCKED",IF(Daily_Operations!G93&gt;=0.33,"HIGH","OK"))</x:f>
        <x:v>OK</x:v>
      </x:c>
      <x:c r="C93" t="str">
        <x:f>IF(Daily_Operations!U93="DATA_INCOMPLETE","BLOCKED",IF(Daily_Operations!I93&gt;=0.39,"HIGH","OK"))</x:f>
        <x:v>OK</x:v>
      </x:c>
      <x:c r="D93" t="str">
        <x:f>IF(Daily_Operations!U93="DATA_INCOMPLETE","BLOCKED",IF(Daily_Operations!P93&lt;=-5,"CRITICAL","OK"))</x:f>
        <x:v>OK</x:v>
      </x:c>
      <x:c r="E93" t="str">
        <x:f>IF(Daily_Operations!U93="DATA_INCOMPLETE","BLOCKED",IFERROR(IF(Daily_Operations!M93/Daily_Operations!K93&gt;=0.05,"HIGH","OK"),"BLOCKED"))</x:f>
        <x:v>OK</x:v>
      </x:c>
      <x:c r="F93" t="str">
        <x:f>IF(Daily_Operations!U93="DATA_INCOMPLETE","BLOCKED",IF(OR(Daily_Operations!S93&gt;=5,Daily_Operations!R93&lt;4.2),"MEDIUM","OK"))</x:f>
        <x:v>OK</x:v>
      </x:c>
      <x:c r="G93" t="str">
        <x:f>IF(Daily_Operations!U93="DATA_INCOMPLETE","DATA_INCOMPLETE","OK")</x:f>
        <x:v>OK</x:v>
      </x:c>
      <x:c r="H93" t="str">
        <x:f>IF(G93="DATA_INCOMPLETE","GA-007",IF(D93="CRITICAL","GA-002",IF(B93="HIGH","GA-001",IF(C93="HIGH",Daily_Operations!V93,IF(E93="HIGH","GA-004",IF(F93="MEDIUM","GA-006",""))))))</x:f>
      </x:c>
      <x:c r="I93" t="str">
        <x:f>IF(G93="DATA_INCOMPLETE","CRITICAL",IF(D93="CRITICAL","CRITICAL",IF(OR(B93="HIGH",C93="HIGH",E93="HIGH"),"HIGH",IF(F93="MEDIUM","MEDIUM","NORMAL"))))</x:f>
        <x:v>NORMAL</x:v>
      </x:c>
    </x:row>
  </x:sheetData>
  <x:conditionalFormatting sqref="I2:I93">
    <x:cfRule type="expression" dxfId="0" priority="1">
      <x:formula>I2="CRITICAL"</x:formula>
    </x:cfRule>
    <x:cfRule type="expression" dxfId="1" priority="2">
      <x:formula>I2="HIGH"</x:formula>
    </x:cfRule>
    <x:cfRule type="expression" dxfId="2" priority="3">
      <x:formula>I2="MEDIUM"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3.630001068115234" hidden="0" customWidth="1"/>
    <x:col min="2" max="2" width="1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>
      <x:c r="A1" s="34" t="str">
        <x:v>DAMGA-OPS V2 — Golden Dataset / Harness Test Dashboard</x:v>
      </x:c>
      <x:c r="B1" s="34"/>
      <x:c r="C1" s="34"/>
      <x:c r="D1" s="34"/>
      <x:c r="E1" s="34"/>
      <x:c r="F1" s="34"/>
      <x:c r="G1" s="34"/>
      <x:c r="H1" s="34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>
      <x:c r="A3" s="10" t="str">
        <x:v>KPI</x:v>
      </x:c>
      <x:c r="B3" s="10" t="str">
        <x:v>Value</x:v>
      </x:c>
      <x:c r="C3" s="11"/>
      <x:c r="D3" s="10" t="str">
        <x:v>Harness Test</x:v>
      </x:c>
      <x:c r="E3" s="10" t="str">
        <x:v>목표</x:v>
      </x:c>
      <x:c r="F3" s="10" t="str">
        <x:v>현재 설계</x:v>
      </x:c>
      <x:c r="G3" s="10" t="str">
        <x:v>판정 원칙</x:v>
      </x:c>
      <x:c r="H3" s="10" t="str">
        <x:v>비고</x:v>
      </x:c>
    </x:row>
    <x:row r="4">
      <x:c r="A4" s="11" t="str">
        <x:v>기간 총매출</x:v>
      </x:c>
      <x:c r="B4" s="18" t="n">
        <x:f>SUM(Daily_Operations!C2:C93)</x:f>
        <x:v>1058152000</x:v>
      </x:c>
      <x:c r="C4" s="11"/>
      <x:c r="D4" s="11" t="str">
        <x:v>HT-001</x:v>
      </x:c>
      <x:c r="E4" s="11" t="str">
        <x:v>과잉인력 탐지</x:v>
      </x:c>
      <x:c r="F4" s="11" t="str">
        <x:v>Rule Engine</x:v>
      </x:c>
      <x:c r="G4" s="11" t="str">
        <x:v>숫자→원인→조치</x:v>
      </x:c>
      <x:c r="H4" s="11" t="str">
        <x:v>자동감원 금지</x:v>
      </x:c>
    </x:row>
    <x:row r="5">
      <x:c r="A5" s="11" t="str">
        <x:v>평균 일매출</x:v>
      </x:c>
      <x:c r="B5" s="18" t="n">
        <x:f>AVERAGE(Daily_Operations!C2:C93)</x:f>
        <x:v>11501652.173913043</x:v>
      </x:c>
      <x:c r="C5" s="11"/>
      <x:c r="D5" s="11" t="str">
        <x:v>HT-002</x:v>
      </x:c>
      <x:c r="E5" s="11" t="str">
        <x:v>재고차이 탐지</x:v>
      </x:c>
      <x:c r="F5" s="11" t="str">
        <x:v>Rule Engine</x:v>
      </x:c>
      <x:c r="G5" s="11" t="str">
        <x:v>이상→확인요청</x:v>
      </x:c>
      <x:c r="H5" s="11" t="str">
        <x:v>부정행위 단정 금지</x:v>
      </x:c>
    </x:row>
    <x:row r="6">
      <x:c r="A6" s="11" t="str">
        <x:v>평균 인건비율</x:v>
      </x:c>
      <x:c r="B6" s="22" t="n">
        <x:f>AVERAGE(Daily_Operations!G2:G93)</x:f>
        <x:v>0.2710687344473852</x:v>
      </x:c>
      <x:c r="C6" s="11"/>
      <x:c r="D6" s="11" t="str">
        <x:v>HT-003</x:v>
      </x:c>
      <x:c r="E6" s="11" t="str">
        <x:v>원가상승 탐지</x:v>
      </x:c>
      <x:c r="F6" s="11" t="str">
        <x:v>Rule Engine</x:v>
      </x:c>
      <x:c r="G6" s="11" t="str">
        <x:v>기간 패턴 인지</x:v>
      </x:c>
      <x:c r="H6" s="11" t="str">
        <x:v>7일 이벤트</x:v>
      </x:c>
    </x:row>
    <x:row r="7">
      <x:c r="A7" s="11" t="str">
        <x:v>평균 식재료 원가율</x:v>
      </x:c>
      <x:c r="B7" s="22" t="n">
        <x:f>AVERAGE(Daily_Operations!I2:I93)</x:f>
        <x:v>0.3344521412757717</x:v>
      </x:c>
      <x:c r="C7" s="11"/>
      <x:c r="D7" s="11" t="str">
        <x:v>HT-004</x:v>
      </x:c>
      <x:c r="E7" s="11" t="str">
        <x:v>폐기급증 탐지</x:v>
      </x:c>
      <x:c r="F7" s="11" t="str">
        <x:v>Rule Engine</x:v>
      </x:c>
      <x:c r="G7" s="11" t="str">
        <x:v>비율 기반</x:v>
      </x:c>
      <x:c r="H7" s="11" t="str">
        <x:v>손질/보관 확인</x:v>
      </x:c>
    </x:row>
    <x:row r="8">
      <x:c r="A8" s="11" t="str">
        <x:v>총 Golden 이상 시나리오</x:v>
      </x:c>
      <x:c r="B8" s="11" t="n">
        <x:v>7</x:v>
      </x:c>
      <x:c r="C8" s="11"/>
      <x:c r="D8" s="11" t="str">
        <x:v>HT-005</x:v>
      </x:c>
      <x:c r="E8" s="11" t="str">
        <x:v>수익성 역행</x:v>
      </x:c>
      <x:c r="F8" s="11" t="str">
        <x:v>AI 분석 대상</x:v>
      </x:c>
      <x:c r="G8" s="11" t="str">
        <x:v>매출과 이익 분리</x:v>
      </x:c>
      <x:c r="H8" s="11" t="str">
        <x:v>Phase 1.5</x:v>
      </x:c>
    </x:row>
    <x:row r="9">
      <x:c r="A9" s="11" t="str">
        <x:v>CRITICAL 일수</x:v>
      </x:c>
      <x:c r="B9" s="11" t="n">
        <x:f>COUNTIF(Rule_Engine_Output!I2:I93,"CRITICAL")</x:f>
        <x:v>2</x:v>
      </x:c>
      <x:c r="C9" s="11"/>
      <x:c r="D9" s="11" t="str">
        <x:v>HT-006</x:v>
      </x:c>
      <x:c r="E9" s="11" t="str">
        <x:v>고객 VOC</x:v>
      </x:c>
      <x:c r="F9" s="11" t="str">
        <x:v>Rule Engine</x:v>
      </x:c>
      <x:c r="G9" s="11" t="str">
        <x:v>평점+클레임</x:v>
      </x:c>
      <x:c r="H9" s="11" t="str">
        <x:v>동시 판단</x:v>
      </x:c>
    </x:row>
    <x:row r="10">
      <x:c r="A10" s="11" t="str">
        <x:v>HIGH 일수</x:v>
      </x:c>
      <x:c r="B10" s="11" t="n">
        <x:f>COUNTIF(Rule_Engine_Output!I2:I93,"HIGH")</x:f>
        <x:v>11</x:v>
      </x:c>
      <x:c r="C10" s="11"/>
      <x:c r="D10" s="11" t="str">
        <x:v>HT-007</x:v>
      </x:c>
      <x:c r="E10" s="11" t="str">
        <x:v>데이터 누락</x:v>
      </x:c>
      <x:c r="F10" s="11" t="str">
        <x:v>Data Gate</x:v>
      </x:c>
      <x:c r="G10" s="11" t="str">
        <x:v>추측 금지</x:v>
      </x:c>
      <x:c r="H10" s="11" t="str">
        <x:v>최우선 Gate</x:v>
      </x:c>
    </x:row>
    <x:row r="11">
      <x:c r="A11" s="11" t="str">
        <x:v>MEDIUM 일수</x:v>
      </x:c>
      <x:c r="B11" s="11" t="n">
        <x:f>COUNTIF(Rule_Engine_Output!I2:I93,"MEDIUM")</x:f>
        <x:v>1</x:v>
      </x:c>
      <x:c r="C11" s="11"/>
      <x:c r="D11" s="11" t="str">
        <x:v>Golden Principle</x:v>
      </x:c>
      <x:c r="E11" s="11" t="str">
        <x:v>계산은 코드/SQL</x:v>
      </x:c>
      <x:c r="F11" s="11" t="str">
        <x:v>AI는 해석</x:v>
      </x:c>
      <x:c r="G11" s="11" t="str">
        <x:v>Evidence 필수</x:v>
      </x:c>
      <x:c r="H11" s="11" t="str"/>
    </x:row>
    <x:row r="12">
      <x:c r="A12" s="11" t="str">
        <x:v>DATA_INCOMPLETE 일수</x:v>
      </x:c>
      <x:c r="B12" s="11" t="n">
        <x:f>COUNTIF(Rule_Engine_Output!G2:G93,"DATA_INCOMPLETE")</x:f>
        <x:v>1</x:v>
      </x:c>
      <x:c r="C12" s="11"/>
      <x:c r="D12" s="11"/>
      <x:c r="E12" s="11"/>
      <x:c r="F12" s="11"/>
      <x:c r="G12" s="11"/>
      <x:c r="H12" s="11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c048b6d29d042e5"/>
</x:worksheet>
</file>